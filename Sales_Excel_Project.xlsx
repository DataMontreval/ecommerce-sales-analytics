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3AABCCF-3A59-4235-BC82-BB5FC5D189FB}" xr6:coauthVersionLast="47" xr6:coauthVersionMax="47" xr10:uidLastSave="{00000000-0000-0000-0000-000000000000}"/>
  <bookViews>
    <workbookView xWindow="-108" yWindow="-108" windowWidth="23256" windowHeight="13176" firstSheet="1" activeTab="6" xr2:uid="{00000000-000D-0000-FFFF-FFFF00000000}"/>
  </bookViews>
  <sheets>
    <sheet name="DATA" sheetId="1" r:id="rId1"/>
    <sheet name="KPI" sheetId="2" r:id="rId2"/>
    <sheet name="Pivot_Monthly" sheetId="4" r:id="rId3"/>
    <sheet name="Pivot_Category" sheetId="5" r:id="rId4"/>
    <sheet name="Pivot_RegionCat" sheetId="6" r:id="rId5"/>
    <sheet name="Pivot_TopProducts" sheetId="7" r:id="rId6"/>
    <sheet name="Dashboard" sheetId="9" r:id="rId7"/>
  </sheets>
  <definedNames>
    <definedName name="_xlnm.Print_Area" localSheetId="6">Dashboard!$A$1:$AA$47</definedName>
  </definedNames>
  <calcPr calcId="191029"/>
  <pivotCaches>
    <pivotCache cacheId="12" r:id="rId8"/>
    <pivotCache cacheId="10" r:id="rId9"/>
  </pivotCaches>
</workbook>
</file>

<file path=xl/calcChain.xml><?xml version="1.0" encoding="utf-8"?>
<calcChain xmlns="http://schemas.openxmlformats.org/spreadsheetml/2006/main">
  <c r="I4" i="9" l="1"/>
  <c r="X4" i="9"/>
  <c r="S4" i="9"/>
  <c r="N4" i="9"/>
  <c r="D4" i="9"/>
  <c r="B5" i="2"/>
  <c r="B6" i="2"/>
  <c r="B4" i="2"/>
  <c r="B3" i="2"/>
  <c r="B2" i="2"/>
</calcChain>
</file>

<file path=xl/sharedStrings.xml><?xml version="1.0" encoding="utf-8"?>
<sst xmlns="http://schemas.openxmlformats.org/spreadsheetml/2006/main" count="976" uniqueCount="174">
  <si>
    <t>Order ID</t>
  </si>
  <si>
    <t>Customer Name</t>
  </si>
  <si>
    <t>Region</t>
  </si>
  <si>
    <t>Country</t>
  </si>
  <si>
    <t>Product</t>
  </si>
  <si>
    <t>Category</t>
  </si>
  <si>
    <t>Quantity</t>
  </si>
  <si>
    <t>Unit Price</t>
  </si>
  <si>
    <t>Total Sales</t>
  </si>
  <si>
    <t>Order Date</t>
  </si>
  <si>
    <t>Year</t>
  </si>
  <si>
    <t>Month</t>
  </si>
  <si>
    <t>Year-Month</t>
  </si>
  <si>
    <t>Isabella Brown</t>
  </si>
  <si>
    <t>Sophia Harris</t>
  </si>
  <si>
    <t>Harper Smith</t>
  </si>
  <si>
    <t>Mia Taylor</t>
  </si>
  <si>
    <t>Jacob White</t>
  </si>
  <si>
    <t>Noah Garcia</t>
  </si>
  <si>
    <t>Amelia White</t>
  </si>
  <si>
    <t>Mason White</t>
  </si>
  <si>
    <t>Liam Thompson</t>
  </si>
  <si>
    <t>Ava Thompson</t>
  </si>
  <si>
    <t>Isabella Anderson</t>
  </si>
  <si>
    <t>Sophia Anderson</t>
  </si>
  <si>
    <t>Liam Garcia</t>
  </si>
  <si>
    <t>Sophia Garcia</t>
  </si>
  <si>
    <t>James Thompson</t>
  </si>
  <si>
    <t>Isabella Harris</t>
  </si>
  <si>
    <t>Ethan Taylor</t>
  </si>
  <si>
    <t>Noah Johnson</t>
  </si>
  <si>
    <t>Sophia Smith</t>
  </si>
  <si>
    <t>Liam Taylor</t>
  </si>
  <si>
    <t>Benjamin Martin</t>
  </si>
  <si>
    <t>Mason Harris</t>
  </si>
  <si>
    <t>Emma Martin</t>
  </si>
  <si>
    <t>Ava Johnson</t>
  </si>
  <si>
    <t>Emma Brown</t>
  </si>
  <si>
    <t>James Martin</t>
  </si>
  <si>
    <t>Sophia Brown</t>
  </si>
  <si>
    <t>Lucas Johnson</t>
  </si>
  <si>
    <t>Lucas Harris</t>
  </si>
  <si>
    <t>John Smith</t>
  </si>
  <si>
    <t>Liam Smith</t>
  </si>
  <si>
    <t>Emma White</t>
  </si>
  <si>
    <t>John Martin</t>
  </si>
  <si>
    <t>John Thompson</t>
  </si>
  <si>
    <t>Amelia Taylor</t>
  </si>
  <si>
    <t>John White</t>
  </si>
  <si>
    <t>Isabella Smith</t>
  </si>
  <si>
    <t>Ava Taylor</t>
  </si>
  <si>
    <t>Lucas Garcia</t>
  </si>
  <si>
    <t>John Anderson</t>
  </si>
  <si>
    <t>Mia Anderson</t>
  </si>
  <si>
    <t>Noah White</t>
  </si>
  <si>
    <t>James Brown</t>
  </si>
  <si>
    <t>Olivia Johnson</t>
  </si>
  <si>
    <t>Amelia Garcia</t>
  </si>
  <si>
    <t>John Taylor</t>
  </si>
  <si>
    <t>Ethan Garcia</t>
  </si>
  <si>
    <t>Harper Garcia</t>
  </si>
  <si>
    <t>Amelia Johnson</t>
  </si>
  <si>
    <t>Isabella White</t>
  </si>
  <si>
    <t>Benjamin Harris</t>
  </si>
  <si>
    <t>Ethan Harris</t>
  </si>
  <si>
    <t>Ethan Brown</t>
  </si>
  <si>
    <t>Benjamin Thompson</t>
  </si>
  <si>
    <t>Mia Thompson</t>
  </si>
  <si>
    <t>James Garcia</t>
  </si>
  <si>
    <t>Olivia Thompson</t>
  </si>
  <si>
    <t>John Harris</t>
  </si>
  <si>
    <t>Charlotte Harris</t>
  </si>
  <si>
    <t>Ava Harris</t>
  </si>
  <si>
    <t>Mason Brown</t>
  </si>
  <si>
    <t>Benjamin Brown</t>
  </si>
  <si>
    <t>Harper Thompson</t>
  </si>
  <si>
    <t>Ethan Smith</t>
  </si>
  <si>
    <t>Mason Garcia</t>
  </si>
  <si>
    <t>Jacob Johnson</t>
  </si>
  <si>
    <t>Jacob Harris</t>
  </si>
  <si>
    <t>Mia White</t>
  </si>
  <si>
    <t>Olivia White</t>
  </si>
  <si>
    <t>John Johnson</t>
  </si>
  <si>
    <t>Emma Thompson</t>
  </si>
  <si>
    <t>Charlotte Taylor</t>
  </si>
  <si>
    <t>Olivia Brown</t>
  </si>
  <si>
    <t>Ava Garcia</t>
  </si>
  <si>
    <t>Isabella Martin</t>
  </si>
  <si>
    <t>Charlotte Brown</t>
  </si>
  <si>
    <t>Mia Smith</t>
  </si>
  <si>
    <t>Charlotte Anderson</t>
  </si>
  <si>
    <t>Jacob Taylor</t>
  </si>
  <si>
    <t>James Anderson</t>
  </si>
  <si>
    <t>James Johnson</t>
  </si>
  <si>
    <t>Harper Martin</t>
  </si>
  <si>
    <t>Mia Johnson</t>
  </si>
  <si>
    <t>Lucas Martin</t>
  </si>
  <si>
    <t>Mia Brown</t>
  </si>
  <si>
    <t>Amelia Smith</t>
  </si>
  <si>
    <t>Noah Thompson</t>
  </si>
  <si>
    <t>Isabella Thompson</t>
  </si>
  <si>
    <t>Isabella Johnson</t>
  </si>
  <si>
    <t>Ava Brown</t>
  </si>
  <si>
    <t>Olivia Anderson</t>
  </si>
  <si>
    <t>Emma Johnson</t>
  </si>
  <si>
    <t>Olivia Harris</t>
  </si>
  <si>
    <t>Charlotte White</t>
  </si>
  <si>
    <t>Mason Smith</t>
  </si>
  <si>
    <t>Sophia Johnson</t>
  </si>
  <si>
    <t>Amelia Martin</t>
  </si>
  <si>
    <t>Noah Harris</t>
  </si>
  <si>
    <t>Sophia Martin</t>
  </si>
  <si>
    <t>Olivia Martin</t>
  </si>
  <si>
    <t>Jacob Brown</t>
  </si>
  <si>
    <t>Noah Taylor</t>
  </si>
  <si>
    <t>Benjamin Anderson</t>
  </si>
  <si>
    <t>North America</t>
  </si>
  <si>
    <t>Oceania</t>
  </si>
  <si>
    <t>Asia</t>
  </si>
  <si>
    <t>Europe</t>
  </si>
  <si>
    <t>South America</t>
  </si>
  <si>
    <t>Mexico</t>
  </si>
  <si>
    <t>New Zealand</t>
  </si>
  <si>
    <t>India</t>
  </si>
  <si>
    <t>Japan</t>
  </si>
  <si>
    <t>Italy</t>
  </si>
  <si>
    <t>USA</t>
  </si>
  <si>
    <t>Brazil</t>
  </si>
  <si>
    <t>Canada</t>
  </si>
  <si>
    <t>South Korea</t>
  </si>
  <si>
    <t>Poland</t>
  </si>
  <si>
    <t>Argentina</t>
  </si>
  <si>
    <t>France</t>
  </si>
  <si>
    <t>Australia</t>
  </si>
  <si>
    <t>Chile</t>
  </si>
  <si>
    <t>Spain</t>
  </si>
  <si>
    <t>Germany</t>
  </si>
  <si>
    <t>China</t>
  </si>
  <si>
    <t>Backpack</t>
  </si>
  <si>
    <t>Yoga Mat</t>
  </si>
  <si>
    <t>Bluetooth Speaker</t>
  </si>
  <si>
    <t>Water Bottle</t>
  </si>
  <si>
    <t>Phone Case</t>
  </si>
  <si>
    <t>Desk Lamp</t>
  </si>
  <si>
    <t>Wireless Mouse</t>
  </si>
  <si>
    <t>Coffee Mug</t>
  </si>
  <si>
    <t>Notebook</t>
  </si>
  <si>
    <t>Smartwatch</t>
  </si>
  <si>
    <t>Travel</t>
  </si>
  <si>
    <t>Sports</t>
  </si>
  <si>
    <t>Electronics</t>
  </si>
  <si>
    <t>Accessories</t>
  </si>
  <si>
    <t>Home</t>
  </si>
  <si>
    <t>Stationery</t>
  </si>
  <si>
    <t>2024-08</t>
  </si>
  <si>
    <t>2024-09</t>
  </si>
  <si>
    <t>2024-04</t>
  </si>
  <si>
    <t>2024-05</t>
  </si>
  <si>
    <t>2024-06</t>
  </si>
  <si>
    <t>2024-03</t>
  </si>
  <si>
    <t>2024-07</t>
  </si>
  <si>
    <t>2024-01</t>
  </si>
  <si>
    <t>2024-10</t>
  </si>
  <si>
    <t>2024-02</t>
  </si>
  <si>
    <t>KPI</t>
  </si>
  <si>
    <t>Value</t>
  </si>
  <si>
    <t>Orders</t>
  </si>
  <si>
    <t>Units</t>
  </si>
  <si>
    <t>AOV</t>
  </si>
  <si>
    <t>Avg Unit Price</t>
  </si>
  <si>
    <t>Названия строк</t>
  </si>
  <si>
    <t>Общий итог</t>
  </si>
  <si>
    <t>Сумма по полю Total Sales</t>
  </si>
  <si>
    <t>Названия столбцов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</si>
</sst>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[Sales_Excel_Project.xlsx]Pivot_Monthly!Сводная таблица1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chemeClr val="tx1"/>
                </a:solidFill>
                <a:latin typeface="Bahnschrift SemiBold" panose="020B0502040204020203" pitchFamily="34" charset="0"/>
              </a:rPr>
              <a:t>Monthly Revenue Trend</a:t>
            </a:r>
            <a:endParaRPr lang="ru-RU">
              <a:solidFill>
                <a:schemeClr val="tx1"/>
              </a:solidFill>
              <a:latin typeface="Bahnschrift SemiBold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13642422542946"/>
          <c:y val="0.17408484166604454"/>
          <c:w val="0.82189564019207573"/>
          <c:h val="0.69854191214006156"/>
        </c:manualLayout>
      </c:layout>
      <c:lineChart>
        <c:grouping val="standard"/>
        <c:varyColors val="0"/>
        <c:ser>
          <c:idx val="0"/>
          <c:order val="0"/>
          <c:tx>
            <c:strRef>
              <c:f>Pivot_Monthly!$B$1</c:f>
              <c:strCache>
                <c:ptCount val="1"/>
                <c:pt idx="0">
                  <c:v>Итог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Pivot_Monthly!$A$2:$A$12</c:f>
              <c:strCache>
                <c:ptCount val="10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</c:strCache>
            </c:strRef>
          </c:cat>
          <c:val>
            <c:numRef>
              <c:f>Pivot_Monthly!$B$2:$B$12</c:f>
              <c:numCache>
                <c:formatCode>General</c:formatCode>
                <c:ptCount val="10"/>
                <c:pt idx="0">
                  <c:v>3040.28</c:v>
                </c:pt>
                <c:pt idx="1">
                  <c:v>3625.9100000000003</c:v>
                </c:pt>
                <c:pt idx="2">
                  <c:v>8651.369999999999</c:v>
                </c:pt>
                <c:pt idx="3">
                  <c:v>7108.0600000000013</c:v>
                </c:pt>
                <c:pt idx="4">
                  <c:v>6012.4099999999989</c:v>
                </c:pt>
                <c:pt idx="5">
                  <c:v>7237.28</c:v>
                </c:pt>
                <c:pt idx="6">
                  <c:v>4663.1400000000003</c:v>
                </c:pt>
                <c:pt idx="7">
                  <c:v>3975.8</c:v>
                </c:pt>
                <c:pt idx="8">
                  <c:v>3088.6200000000003</c:v>
                </c:pt>
                <c:pt idx="9">
                  <c:v>2245.2299999999996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4F-4C51-BBC8-6DD5F05F2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735528"/>
        <c:axId val="645743808"/>
      </c:lineChart>
      <c:catAx>
        <c:axId val="645735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5743808"/>
        <c:crosses val="autoZero"/>
        <c:auto val="1"/>
        <c:lblAlgn val="ctr"/>
        <c:lblOffset val="100"/>
        <c:noMultiLvlLbl val="0"/>
      </c:catAx>
      <c:valAx>
        <c:axId val="6457438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5735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[Sales_Excel_Project.xlsx]Pivot_Category!Сводная таблица2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  <a:latin typeface="Bahnschrift SemiBold" panose="020B0502040204020203" pitchFamily="34" charset="0"/>
              </a:rPr>
              <a:t>Revenue by Category</a:t>
            </a:r>
            <a:endParaRPr lang="ru-RU" sz="1600">
              <a:solidFill>
                <a:schemeClr val="tx1"/>
              </a:solidFill>
              <a:latin typeface="Bahnschrift SemiBold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Pivot_Category!$B$1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Pivot_Category!$A$2:$A$8</c:f>
              <c:strCache>
                <c:ptCount val="6"/>
                <c:pt idx="0">
                  <c:v>Electronics</c:v>
                </c:pt>
                <c:pt idx="1">
                  <c:v>Sports</c:v>
                </c:pt>
                <c:pt idx="2">
                  <c:v>Home</c:v>
                </c:pt>
                <c:pt idx="3">
                  <c:v>Travel</c:v>
                </c:pt>
                <c:pt idx="4">
                  <c:v>Stationery</c:v>
                </c:pt>
                <c:pt idx="5">
                  <c:v>Accessories</c:v>
                </c:pt>
              </c:strCache>
            </c:strRef>
          </c:cat>
          <c:val>
            <c:numRef>
              <c:f>Pivot_Category!$B$2:$B$8</c:f>
              <c:numCache>
                <c:formatCode>General</c:formatCode>
                <c:ptCount val="6"/>
                <c:pt idx="0">
                  <c:v>13887.74</c:v>
                </c:pt>
                <c:pt idx="1">
                  <c:v>10282.919999999998</c:v>
                </c:pt>
                <c:pt idx="2">
                  <c:v>9976.76</c:v>
                </c:pt>
                <c:pt idx="3">
                  <c:v>5623.9000000000015</c:v>
                </c:pt>
                <c:pt idx="4">
                  <c:v>5409.36</c:v>
                </c:pt>
                <c:pt idx="5">
                  <c:v>4467.420000000001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DA-4878-8694-E504488F8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92144536"/>
        <c:axId val="692145976"/>
      </c:barChart>
      <c:catAx>
        <c:axId val="692144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145976"/>
        <c:crosses val="autoZero"/>
        <c:auto val="1"/>
        <c:lblAlgn val="ctr"/>
        <c:lblOffset val="100"/>
        <c:noMultiLvlLbl val="0"/>
      </c:catAx>
      <c:valAx>
        <c:axId val="692145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144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[Sales_Excel_Project.xlsx]Pivot_RegionCat!Сводная таблица3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  <a:latin typeface="Bahnschrift SemiBold" panose="020B0502040204020203" pitchFamily="34" charset="0"/>
              </a:rPr>
              <a:t>Revenue by Category and Region</a:t>
            </a:r>
            <a:endParaRPr lang="ru-RU" sz="1600">
              <a:solidFill>
                <a:schemeClr val="tx1"/>
              </a:solidFill>
              <a:latin typeface="Bahnschrift SemiBold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Pivot_RegionCat!$B$1:$B$2</c:f>
              <c:strCache>
                <c:ptCount val="1"/>
                <c:pt idx="0">
                  <c:v>Accessories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Pivot_RegionCat!$A$3:$A$8</c:f>
              <c:strCache>
                <c:ptCount val="5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  <c:pt idx="3">
                  <c:v>Oceania</c:v>
                </c:pt>
                <c:pt idx="4">
                  <c:v>South America</c:v>
                </c:pt>
              </c:strCache>
            </c:strRef>
          </c:cat>
          <c:val>
            <c:numRef>
              <c:f>Pivot_RegionCat!$B$3:$B$8</c:f>
              <c:numCache>
                <c:formatCode>General</c:formatCode>
                <c:ptCount val="5"/>
                <c:pt idx="0">
                  <c:v>790.31</c:v>
                </c:pt>
                <c:pt idx="1">
                  <c:v>396.21000000000004</c:v>
                </c:pt>
                <c:pt idx="2">
                  <c:v>478.82</c:v>
                </c:pt>
                <c:pt idx="3">
                  <c:v>2174.6999999999998</c:v>
                </c:pt>
                <c:pt idx="4">
                  <c:v>627.38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6-4124-BC01-509496017FD5}"/>
            </c:ext>
          </c:extLst>
        </c:ser>
        <c:ser>
          <c:idx val="1"/>
          <c:order val="1"/>
          <c:tx>
            <c:strRef>
              <c:f>Pivot_RegionCat!$C$1:$C$2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Pivot_RegionCat!$A$3:$A$8</c:f>
              <c:strCache>
                <c:ptCount val="5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  <c:pt idx="3">
                  <c:v>Oceania</c:v>
                </c:pt>
                <c:pt idx="4">
                  <c:v>South America</c:v>
                </c:pt>
              </c:strCache>
            </c:strRef>
          </c:cat>
          <c:val>
            <c:numRef>
              <c:f>Pivot_RegionCat!$C$3:$C$8</c:f>
              <c:numCache>
                <c:formatCode>General</c:formatCode>
                <c:ptCount val="5"/>
                <c:pt idx="0">
                  <c:v>1849.38</c:v>
                </c:pt>
                <c:pt idx="1">
                  <c:v>3341.4300000000003</c:v>
                </c:pt>
                <c:pt idx="2">
                  <c:v>3184.5400000000004</c:v>
                </c:pt>
                <c:pt idx="3">
                  <c:v>2860.47</c:v>
                </c:pt>
                <c:pt idx="4">
                  <c:v>2651.92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B6-4124-BC01-509496017FD5}"/>
            </c:ext>
          </c:extLst>
        </c:ser>
        <c:ser>
          <c:idx val="2"/>
          <c:order val="2"/>
          <c:tx>
            <c:strRef>
              <c:f>Pivot_RegionCat!$D$1:$D$2</c:f>
              <c:strCache>
                <c:ptCount val="1"/>
                <c:pt idx="0">
                  <c:v>Home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Pivot_RegionCat!$A$3:$A$8</c:f>
              <c:strCache>
                <c:ptCount val="5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  <c:pt idx="3">
                  <c:v>Oceania</c:v>
                </c:pt>
                <c:pt idx="4">
                  <c:v>South America</c:v>
                </c:pt>
              </c:strCache>
            </c:strRef>
          </c:cat>
          <c:val>
            <c:numRef>
              <c:f>Pivot_RegionCat!$D$3:$D$8</c:f>
              <c:numCache>
                <c:formatCode>General</c:formatCode>
                <c:ptCount val="5"/>
                <c:pt idx="0">
                  <c:v>1141.01</c:v>
                </c:pt>
                <c:pt idx="1">
                  <c:v>1592.33</c:v>
                </c:pt>
                <c:pt idx="2">
                  <c:v>2585.6399999999994</c:v>
                </c:pt>
                <c:pt idx="3">
                  <c:v>1923.68</c:v>
                </c:pt>
                <c:pt idx="4">
                  <c:v>2734.1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B6-4124-BC01-509496017FD5}"/>
            </c:ext>
          </c:extLst>
        </c:ser>
        <c:ser>
          <c:idx val="3"/>
          <c:order val="3"/>
          <c:tx>
            <c:strRef>
              <c:f>Pivot_RegionCat!$E$1:$E$2</c:f>
              <c:strCache>
                <c:ptCount val="1"/>
                <c:pt idx="0">
                  <c:v>Sports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Pivot_RegionCat!$A$3:$A$8</c:f>
              <c:strCache>
                <c:ptCount val="5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  <c:pt idx="3">
                  <c:v>Oceania</c:v>
                </c:pt>
                <c:pt idx="4">
                  <c:v>South America</c:v>
                </c:pt>
              </c:strCache>
            </c:strRef>
          </c:cat>
          <c:val>
            <c:numRef>
              <c:f>Pivot_RegionCat!$E$3:$E$8</c:f>
              <c:numCache>
                <c:formatCode>General</c:formatCode>
                <c:ptCount val="5"/>
                <c:pt idx="0">
                  <c:v>1684.06</c:v>
                </c:pt>
                <c:pt idx="1">
                  <c:v>3843.8900000000008</c:v>
                </c:pt>
                <c:pt idx="2">
                  <c:v>907.65000000000009</c:v>
                </c:pt>
                <c:pt idx="3">
                  <c:v>2395.52</c:v>
                </c:pt>
                <c:pt idx="4">
                  <c:v>1451.8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B6-4124-BC01-509496017FD5}"/>
            </c:ext>
          </c:extLst>
        </c:ser>
        <c:ser>
          <c:idx val="4"/>
          <c:order val="4"/>
          <c:tx>
            <c:strRef>
              <c:f>Pivot_RegionCat!$F$1:$F$2</c:f>
              <c:strCache>
                <c:ptCount val="1"/>
                <c:pt idx="0">
                  <c:v>Stationery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Pivot_RegionCat!$A$3:$A$8</c:f>
              <c:strCache>
                <c:ptCount val="5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  <c:pt idx="3">
                  <c:v>Oceania</c:v>
                </c:pt>
                <c:pt idx="4">
                  <c:v>South America</c:v>
                </c:pt>
              </c:strCache>
            </c:strRef>
          </c:cat>
          <c:val>
            <c:numRef>
              <c:f>Pivot_RegionCat!$F$3:$F$8</c:f>
              <c:numCache>
                <c:formatCode>General</c:formatCode>
                <c:ptCount val="5"/>
                <c:pt idx="0">
                  <c:v>75.39</c:v>
                </c:pt>
                <c:pt idx="1">
                  <c:v>1049.58</c:v>
                </c:pt>
                <c:pt idx="2">
                  <c:v>444.56000000000006</c:v>
                </c:pt>
                <c:pt idx="3">
                  <c:v>2609.4699999999998</c:v>
                </c:pt>
                <c:pt idx="4">
                  <c:v>1230.3599999999999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B6-4124-BC01-509496017FD5}"/>
            </c:ext>
          </c:extLst>
        </c:ser>
        <c:ser>
          <c:idx val="5"/>
          <c:order val="5"/>
          <c:tx>
            <c:strRef>
              <c:f>Pivot_RegionCat!$G$1:$G$2</c:f>
              <c:strCache>
                <c:ptCount val="1"/>
                <c:pt idx="0">
                  <c:v>Travel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Pivot_RegionCat!$A$3:$A$8</c:f>
              <c:strCache>
                <c:ptCount val="5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  <c:pt idx="3">
                  <c:v>Oceania</c:v>
                </c:pt>
                <c:pt idx="4">
                  <c:v>South America</c:v>
                </c:pt>
              </c:strCache>
            </c:strRef>
          </c:cat>
          <c:val>
            <c:numRef>
              <c:f>Pivot_RegionCat!$G$3:$G$8</c:f>
              <c:numCache>
                <c:formatCode>General</c:formatCode>
                <c:ptCount val="5"/>
                <c:pt idx="0">
                  <c:v>1258.77</c:v>
                </c:pt>
                <c:pt idx="1">
                  <c:v>1476.64</c:v>
                </c:pt>
                <c:pt idx="2">
                  <c:v>1067.26</c:v>
                </c:pt>
                <c:pt idx="3">
                  <c:v>618.69999999999993</c:v>
                </c:pt>
                <c:pt idx="4">
                  <c:v>1202.53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B6-4124-BC01-509496017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5460888"/>
        <c:axId val="645461968"/>
      </c:barChart>
      <c:catAx>
        <c:axId val="645460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5461968"/>
        <c:crosses val="autoZero"/>
        <c:auto val="1"/>
        <c:lblAlgn val="ctr"/>
        <c:lblOffset val="100"/>
        <c:noMultiLvlLbl val="0"/>
      </c:catAx>
      <c:valAx>
        <c:axId val="64546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5460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[Sales_Excel_Project.xlsx]Pivot_TopProducts!Сводная таблица4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  <a:latin typeface="Bahnschrift SemiBold" panose="020B0502040204020203" pitchFamily="34" charset="0"/>
              </a:rPr>
              <a:t>Top 10 Products by Revenue</a:t>
            </a:r>
            <a:endParaRPr lang="ru-RU" sz="1600">
              <a:solidFill>
                <a:schemeClr val="tx1"/>
              </a:solidFill>
              <a:latin typeface="Bahnschrift SemiBold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Pivot_TopProducts!$B$1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Pivot_TopProducts!$A$2:$A$12</c:f>
              <c:strCache>
                <c:ptCount val="10"/>
                <c:pt idx="0">
                  <c:v>Coffee Mug</c:v>
                </c:pt>
                <c:pt idx="1">
                  <c:v>Backpack</c:v>
                </c:pt>
                <c:pt idx="2">
                  <c:v>Notebook</c:v>
                </c:pt>
                <c:pt idx="3">
                  <c:v>Water Bottle</c:v>
                </c:pt>
                <c:pt idx="4">
                  <c:v>Yoga Mat</c:v>
                </c:pt>
                <c:pt idx="5">
                  <c:v>Bluetooth Speaker</c:v>
                </c:pt>
                <c:pt idx="6">
                  <c:v>Wireless Mouse</c:v>
                </c:pt>
                <c:pt idx="7">
                  <c:v>Phone Case</c:v>
                </c:pt>
                <c:pt idx="8">
                  <c:v>Smartwatch</c:v>
                </c:pt>
                <c:pt idx="9">
                  <c:v>Desk Lamp</c:v>
                </c:pt>
              </c:strCache>
            </c:strRef>
          </c:cat>
          <c:val>
            <c:numRef>
              <c:f>Pivot_TopProducts!$B$2:$B$12</c:f>
              <c:numCache>
                <c:formatCode>General</c:formatCode>
                <c:ptCount val="10"/>
                <c:pt idx="0">
                  <c:v>6689.880000000001</c:v>
                </c:pt>
                <c:pt idx="1">
                  <c:v>5623.9000000000015</c:v>
                </c:pt>
                <c:pt idx="2">
                  <c:v>5409.36</c:v>
                </c:pt>
                <c:pt idx="3">
                  <c:v>5215.12</c:v>
                </c:pt>
                <c:pt idx="4">
                  <c:v>5067.8000000000011</c:v>
                </c:pt>
                <c:pt idx="5">
                  <c:v>4740.41</c:v>
                </c:pt>
                <c:pt idx="6">
                  <c:v>4684.8300000000008</c:v>
                </c:pt>
                <c:pt idx="7">
                  <c:v>4467.420000000001</c:v>
                </c:pt>
                <c:pt idx="8">
                  <c:v>4462.5</c:v>
                </c:pt>
                <c:pt idx="9">
                  <c:v>3286.8799999999992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C-48A8-A4E7-5ACF1E410F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45739488"/>
        <c:axId val="645734448"/>
      </c:barChart>
      <c:catAx>
        <c:axId val="64573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5734448"/>
        <c:crosses val="autoZero"/>
        <c:auto val="1"/>
        <c:lblAlgn val="ctr"/>
        <c:lblOffset val="100"/>
        <c:noMultiLvlLbl val="0"/>
      </c:catAx>
      <c:valAx>
        <c:axId val="645734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573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95992</xdr:colOff>
      <xdr:row>5</xdr:row>
      <xdr:rowOff>152401</xdr:rowOff>
    </xdr:from>
    <xdr:to>
      <xdr:col>14</xdr:col>
      <xdr:colOff>69273</xdr:colOff>
      <xdr:row>23</xdr:row>
      <xdr:rowOff>96982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2651951-CDC5-4049-ACF6-E43571608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207818</xdr:colOff>
      <xdr:row>5</xdr:row>
      <xdr:rowOff>152399</xdr:rowOff>
    </xdr:from>
    <xdr:to>
      <xdr:col>26</xdr:col>
      <xdr:colOff>318655</xdr:colOff>
      <xdr:row>22</xdr:row>
      <xdr:rowOff>96981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20EDFA5-3D76-452A-9ED0-00F80E058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457200</xdr:colOff>
      <xdr:row>22</xdr:row>
      <xdr:rowOff>166255</xdr:rowOff>
    </xdr:from>
    <xdr:to>
      <xdr:col>26</xdr:col>
      <xdr:colOff>512619</xdr:colOff>
      <xdr:row>45</xdr:row>
      <xdr:rowOff>140525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E2BBCD8-D785-40BD-902F-CAD382496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88074</xdr:colOff>
      <xdr:row>24</xdr:row>
      <xdr:rowOff>34638</xdr:rowOff>
    </xdr:from>
    <xdr:to>
      <xdr:col>14</xdr:col>
      <xdr:colOff>249382</xdr:colOff>
      <xdr:row>45</xdr:row>
      <xdr:rowOff>55419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36F5AE4-5F3C-439C-9BEC-61C37FB5A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5972.605553125002" createdVersion="8" refreshedVersion="8" minRefreshableVersion="3" recordCount="150" xr:uid="{B91D89C3-028F-421E-B27E-B549E382851C}">
  <cacheSource type="worksheet">
    <worksheetSource ref="A1:M151" sheet="DATA"/>
  </cacheSource>
  <cacheFields count="13">
    <cacheField name="Order ID" numFmtId="0">
      <sharedItems containsSemiMixedTypes="0" containsString="0" containsNumber="1" containsInteger="1" minValue="1" maxValue="150"/>
    </cacheField>
    <cacheField name="Customer Name" numFmtId="0">
      <sharedItems/>
    </cacheField>
    <cacheField name="Region" numFmtId="0">
      <sharedItems/>
    </cacheField>
    <cacheField name="Country" numFmtId="0">
      <sharedItems/>
    </cacheField>
    <cacheField name="Product" numFmtId="0">
      <sharedItems count="10">
        <s v="Backpack"/>
        <s v="Yoga Mat"/>
        <s v="Bluetooth Speaker"/>
        <s v="Water Bottle"/>
        <s v="Phone Case"/>
        <s v="Desk Lamp"/>
        <s v="Wireless Mouse"/>
        <s v="Coffee Mug"/>
        <s v="Notebook"/>
        <s v="Smartwatch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minValue="10.11" maxValue="198.02"/>
    </cacheField>
    <cacheField name="Total Sales" numFmtId="0">
      <sharedItems containsSemiMixedTypes="0" containsString="0" containsNumber="1" minValue="10.56" maxValue="971.5"/>
    </cacheField>
    <cacheField name="Order Date" numFmtId="14">
      <sharedItems containsSemiMixedTypes="0" containsNonDate="0" containsDate="1" containsString="0" minDate="2024-01-02T00:00:00" maxDate="2024-10-28T00:00:00"/>
    </cacheField>
    <cacheField name="Year" numFmtId="0">
      <sharedItems containsSemiMixedTypes="0" containsString="0" containsNumber="1" containsInteger="1" minValue="2024" maxValue="2024"/>
    </cacheField>
    <cacheField name="Month" numFmtId="0">
      <sharedItems containsSemiMixedTypes="0" containsString="0" containsNumber="1" containsInteger="1" minValue="1" maxValue="10"/>
    </cacheField>
    <cacheField name="Year-Month" numFmtId="0">
      <sharedItems count="10">
        <s v="2024-08"/>
        <s v="2024-09"/>
        <s v="2024-04"/>
        <s v="2024-05"/>
        <s v="2024-06"/>
        <s v="2024-03"/>
        <s v="2024-07"/>
        <s v="2024-01"/>
        <s v="2024-10"/>
        <s v="2024-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5972.608862731482" createdVersion="8" refreshedVersion="8" minRefreshableVersion="3" recordCount="150" xr:uid="{824CEDA7-6D2D-4CA2-A2A2-B6468311CDEA}">
  <cacheSource type="worksheet">
    <worksheetSource name="DATA!$A$1:$M$151"/>
  </cacheSource>
  <cacheFields count="13">
    <cacheField name="Order ID" numFmtId="0">
      <sharedItems containsSemiMixedTypes="0" containsString="0" containsNumber="1" containsInteger="1" minValue="1" maxValue="150"/>
    </cacheField>
    <cacheField name="Customer Name" numFmtId="0">
      <sharedItems/>
    </cacheField>
    <cacheField name="Region" numFmtId="0">
      <sharedItems count="5">
        <s v="North America"/>
        <s v="Oceania"/>
        <s v="Asia"/>
        <s v="Europe"/>
        <s v="South America"/>
      </sharedItems>
    </cacheField>
    <cacheField name="Country" numFmtId="0">
      <sharedItems/>
    </cacheField>
    <cacheField name="Product" numFmtId="0">
      <sharedItems/>
    </cacheField>
    <cacheField name="Category" numFmtId="0">
      <sharedItems count="6">
        <s v="Travel"/>
        <s v="Sports"/>
        <s v="Electronics"/>
        <s v="Accessories"/>
        <s v="Home"/>
        <s v="Stationery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minValue="10.11" maxValue="198.02"/>
    </cacheField>
    <cacheField name="Total Sales" numFmtId="0">
      <sharedItems containsSemiMixedTypes="0" containsString="0" containsNumber="1" minValue="10.56" maxValue="971.5"/>
    </cacheField>
    <cacheField name="Order Date" numFmtId="14">
      <sharedItems containsSemiMixedTypes="0" containsNonDate="0" containsDate="1" containsString="0" minDate="2024-01-02T00:00:00" maxDate="2024-10-28T00:00:00"/>
    </cacheField>
    <cacheField name="Year" numFmtId="0">
      <sharedItems containsSemiMixedTypes="0" containsString="0" containsNumber="1" containsInteger="1" minValue="2024" maxValue="2024"/>
    </cacheField>
    <cacheField name="Month" numFmtId="0">
      <sharedItems containsSemiMixedTypes="0" containsString="0" containsNumber="1" containsInteger="1" minValue="1" maxValue="10"/>
    </cacheField>
    <cacheField name="Year-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s v="Isabella Brown"/>
    <s v="North America"/>
    <s v="Mexico"/>
    <x v="0"/>
    <s v="Travel"/>
    <n v="3"/>
    <n v="60.24"/>
    <n v="180.72"/>
    <d v="2024-08-04T00:00:00"/>
    <n v="2024"/>
    <n v="8"/>
    <x v="0"/>
  </r>
  <r>
    <n v="2"/>
    <s v="Sophia Harris"/>
    <s v="Oceania"/>
    <s v="New Zealand"/>
    <x v="0"/>
    <s v="Travel"/>
    <n v="5"/>
    <n v="85.58"/>
    <n v="427.9"/>
    <d v="2024-09-22T00:00:00"/>
    <n v="2024"/>
    <n v="9"/>
    <x v="1"/>
  </r>
  <r>
    <n v="3"/>
    <s v="Harper Smith"/>
    <s v="Asia"/>
    <s v="India"/>
    <x v="1"/>
    <s v="Sports"/>
    <n v="4"/>
    <n v="145.02000000000001"/>
    <n v="580.08000000000004"/>
    <d v="2024-04-04T00:00:00"/>
    <n v="2024"/>
    <n v="4"/>
    <x v="2"/>
  </r>
  <r>
    <n v="4"/>
    <s v="Mia Taylor"/>
    <s v="Asia"/>
    <s v="Japan"/>
    <x v="2"/>
    <s v="Electronics"/>
    <n v="1"/>
    <n v="39.57"/>
    <n v="39.57"/>
    <d v="2024-05-12T00:00:00"/>
    <n v="2024"/>
    <n v="5"/>
    <x v="3"/>
  </r>
  <r>
    <n v="5"/>
    <s v="Jacob White"/>
    <s v="Europe"/>
    <s v="Italy"/>
    <x v="3"/>
    <s v="Sports"/>
    <n v="5"/>
    <n v="188.69"/>
    <n v="943.45"/>
    <d v="2024-06-04T00:00:00"/>
    <n v="2024"/>
    <n v="6"/>
    <x v="4"/>
  </r>
  <r>
    <n v="6"/>
    <s v="Noah Garcia"/>
    <s v="North America"/>
    <s v="USA"/>
    <x v="4"/>
    <s v="Accessories"/>
    <n v="1"/>
    <n v="112.64"/>
    <n v="112.64"/>
    <d v="2024-08-22T00:00:00"/>
    <n v="2024"/>
    <n v="8"/>
    <x v="0"/>
  </r>
  <r>
    <n v="7"/>
    <s v="Amelia White"/>
    <s v="Oceania"/>
    <s v="New Zealand"/>
    <x v="5"/>
    <s v="Home"/>
    <n v="3"/>
    <n v="38.47"/>
    <n v="115.41"/>
    <d v="2024-03-28T00:00:00"/>
    <n v="2024"/>
    <n v="3"/>
    <x v="5"/>
  </r>
  <r>
    <n v="8"/>
    <s v="Mason White"/>
    <s v="South America"/>
    <s v="Brazil"/>
    <x v="1"/>
    <s v="Sports"/>
    <n v="1"/>
    <n v="162.91"/>
    <n v="162.91"/>
    <d v="2024-09-17T00:00:00"/>
    <n v="2024"/>
    <n v="9"/>
    <x v="1"/>
  </r>
  <r>
    <n v="9"/>
    <s v="Liam Thompson"/>
    <s v="North America"/>
    <s v="Canada"/>
    <x v="0"/>
    <s v="Travel"/>
    <n v="1"/>
    <n v="153.28"/>
    <n v="153.28"/>
    <d v="2024-05-24T00:00:00"/>
    <n v="2024"/>
    <n v="5"/>
    <x v="3"/>
  </r>
  <r>
    <n v="10"/>
    <s v="Mia Taylor"/>
    <s v="South America"/>
    <s v="Brazil"/>
    <x v="6"/>
    <s v="Electronics"/>
    <n v="2"/>
    <n v="178.34"/>
    <n v="356.68"/>
    <d v="2024-07-09T00:00:00"/>
    <n v="2024"/>
    <n v="7"/>
    <x v="6"/>
  </r>
  <r>
    <n v="11"/>
    <s v="Ava Thompson"/>
    <s v="Asia"/>
    <s v="India"/>
    <x v="6"/>
    <s v="Electronics"/>
    <n v="3"/>
    <n v="67.400000000000006"/>
    <n v="202.2"/>
    <d v="2024-04-25T00:00:00"/>
    <n v="2024"/>
    <n v="4"/>
    <x v="2"/>
  </r>
  <r>
    <n v="12"/>
    <s v="Isabella Anderson"/>
    <s v="North America"/>
    <s v="Canada"/>
    <x v="7"/>
    <s v="Home"/>
    <n v="2"/>
    <n v="181.66"/>
    <n v="363.32"/>
    <d v="2024-05-13T00:00:00"/>
    <n v="2024"/>
    <n v="5"/>
    <x v="3"/>
  </r>
  <r>
    <n v="13"/>
    <s v="Sophia Anderson"/>
    <s v="Asia"/>
    <s v="South Korea"/>
    <x v="2"/>
    <s v="Electronics"/>
    <n v="4"/>
    <n v="122.4"/>
    <n v="489.6"/>
    <d v="2024-06-06T00:00:00"/>
    <n v="2024"/>
    <n v="6"/>
    <x v="4"/>
  </r>
  <r>
    <n v="14"/>
    <s v="Liam Garcia"/>
    <s v="South America"/>
    <s v="Brazil"/>
    <x v="5"/>
    <s v="Home"/>
    <n v="1"/>
    <n v="100.56"/>
    <n v="100.56"/>
    <d v="2024-06-28T00:00:00"/>
    <n v="2024"/>
    <n v="6"/>
    <x v="4"/>
  </r>
  <r>
    <n v="15"/>
    <s v="Sophia Garcia"/>
    <s v="North America"/>
    <s v="Canada"/>
    <x v="6"/>
    <s v="Electronics"/>
    <n v="5"/>
    <n v="83.95"/>
    <n v="419.75"/>
    <d v="2024-06-03T00:00:00"/>
    <n v="2024"/>
    <n v="6"/>
    <x v="4"/>
  </r>
  <r>
    <n v="16"/>
    <s v="James Thompson"/>
    <s v="Oceania"/>
    <s v="New Zealand"/>
    <x v="8"/>
    <s v="Stationery"/>
    <n v="4"/>
    <n v="172.94"/>
    <n v="691.76"/>
    <d v="2024-03-31T00:00:00"/>
    <n v="2024"/>
    <n v="3"/>
    <x v="5"/>
  </r>
  <r>
    <n v="17"/>
    <s v="Isabella Harris"/>
    <s v="South America"/>
    <s v="Brazil"/>
    <x v="5"/>
    <s v="Home"/>
    <n v="3"/>
    <n v="98.32"/>
    <n v="294.95999999999998"/>
    <d v="2024-08-27T00:00:00"/>
    <n v="2024"/>
    <n v="8"/>
    <x v="0"/>
  </r>
  <r>
    <n v="18"/>
    <s v="Ethan Taylor"/>
    <s v="Europe"/>
    <s v="Poland"/>
    <x v="5"/>
    <s v="Home"/>
    <n v="4"/>
    <n v="68.790000000000006"/>
    <n v="275.16000000000003"/>
    <d v="2024-06-08T00:00:00"/>
    <n v="2024"/>
    <n v="6"/>
    <x v="4"/>
  </r>
  <r>
    <n v="19"/>
    <s v="Ava Thompson"/>
    <s v="South America"/>
    <s v="Argentina"/>
    <x v="0"/>
    <s v="Travel"/>
    <n v="4"/>
    <n v="110.38"/>
    <n v="441.52"/>
    <d v="2024-05-10T00:00:00"/>
    <n v="2024"/>
    <n v="5"/>
    <x v="3"/>
  </r>
  <r>
    <n v="20"/>
    <s v="Noah Johnson"/>
    <s v="Europe"/>
    <s v="France"/>
    <x v="0"/>
    <s v="Travel"/>
    <n v="4"/>
    <n v="133.26"/>
    <n v="533.04"/>
    <d v="2024-09-03T00:00:00"/>
    <n v="2024"/>
    <n v="9"/>
    <x v="1"/>
  </r>
  <r>
    <n v="21"/>
    <s v="Sophia Smith"/>
    <s v="Asia"/>
    <s v="South Korea"/>
    <x v="3"/>
    <s v="Sports"/>
    <n v="3"/>
    <n v="15.06"/>
    <n v="45.18"/>
    <d v="2024-06-28T00:00:00"/>
    <n v="2024"/>
    <n v="6"/>
    <x v="4"/>
  </r>
  <r>
    <n v="22"/>
    <s v="Liam Taylor"/>
    <s v="North America"/>
    <s v="Mexico"/>
    <x v="9"/>
    <s v="Electronics"/>
    <n v="5"/>
    <n v="41.09"/>
    <n v="205.45"/>
    <d v="2024-04-07T00:00:00"/>
    <n v="2024"/>
    <n v="4"/>
    <x v="2"/>
  </r>
  <r>
    <n v="23"/>
    <s v="Amelia White"/>
    <s v="Asia"/>
    <s v="South Korea"/>
    <x v="6"/>
    <s v="Electronics"/>
    <n v="4"/>
    <n v="19.66"/>
    <n v="78.64"/>
    <d v="2024-01-03T00:00:00"/>
    <n v="2024"/>
    <n v="1"/>
    <x v="7"/>
  </r>
  <r>
    <n v="24"/>
    <s v="Benjamin Martin"/>
    <s v="North America"/>
    <s v="USA"/>
    <x v="0"/>
    <s v="Travel"/>
    <n v="1"/>
    <n v="74.14"/>
    <n v="74.14"/>
    <d v="2024-04-09T00:00:00"/>
    <n v="2024"/>
    <n v="4"/>
    <x v="2"/>
  </r>
  <r>
    <n v="25"/>
    <s v="Mason Harris"/>
    <s v="South America"/>
    <s v="Brazil"/>
    <x v="7"/>
    <s v="Home"/>
    <n v="1"/>
    <n v="80.11"/>
    <n v="80.11"/>
    <d v="2024-10-03T00:00:00"/>
    <n v="2024"/>
    <n v="10"/>
    <x v="8"/>
  </r>
  <r>
    <n v="26"/>
    <s v="Emma Martin"/>
    <s v="Oceania"/>
    <s v="Australia"/>
    <x v="2"/>
    <s v="Electronics"/>
    <n v="5"/>
    <n v="47.48"/>
    <n v="237.4"/>
    <d v="2024-05-15T00:00:00"/>
    <n v="2024"/>
    <n v="5"/>
    <x v="3"/>
  </r>
  <r>
    <n v="27"/>
    <s v="Ava Johnson"/>
    <s v="South America"/>
    <s v="Chile"/>
    <x v="3"/>
    <s v="Sports"/>
    <n v="1"/>
    <n v="53.74"/>
    <n v="53.74"/>
    <d v="2024-05-30T00:00:00"/>
    <n v="2024"/>
    <n v="5"/>
    <x v="3"/>
  </r>
  <r>
    <n v="28"/>
    <s v="Emma Brown"/>
    <s v="Oceania"/>
    <s v="New Zealand"/>
    <x v="4"/>
    <s v="Accessories"/>
    <n v="5"/>
    <n v="189.56"/>
    <n v="947.8"/>
    <d v="2024-03-30T00:00:00"/>
    <n v="2024"/>
    <n v="3"/>
    <x v="5"/>
  </r>
  <r>
    <n v="29"/>
    <s v="Harper Smith"/>
    <s v="South America"/>
    <s v="Brazil"/>
    <x v="9"/>
    <s v="Electronics"/>
    <n v="3"/>
    <n v="183.18"/>
    <n v="549.54"/>
    <d v="2024-05-04T00:00:00"/>
    <n v="2024"/>
    <n v="5"/>
    <x v="3"/>
  </r>
  <r>
    <n v="30"/>
    <s v="Liam Thompson"/>
    <s v="North America"/>
    <s v="Canada"/>
    <x v="2"/>
    <s v="Electronics"/>
    <n v="3"/>
    <n v="131.54"/>
    <n v="394.62"/>
    <d v="2024-08-20T00:00:00"/>
    <n v="2024"/>
    <n v="8"/>
    <x v="0"/>
  </r>
  <r>
    <n v="31"/>
    <s v="Benjamin Martin"/>
    <s v="Oceania"/>
    <s v="New Zealand"/>
    <x v="0"/>
    <s v="Travel"/>
    <n v="1"/>
    <n v="113"/>
    <n v="113"/>
    <d v="2024-02-19T00:00:00"/>
    <n v="2024"/>
    <n v="2"/>
    <x v="9"/>
  </r>
  <r>
    <n v="32"/>
    <s v="James Martin"/>
    <s v="South America"/>
    <s v="Argentina"/>
    <x v="1"/>
    <s v="Sports"/>
    <n v="5"/>
    <n v="39.51"/>
    <n v="197.55"/>
    <d v="2024-02-11T00:00:00"/>
    <n v="2024"/>
    <n v="2"/>
    <x v="9"/>
  </r>
  <r>
    <n v="33"/>
    <s v="Sophia Brown"/>
    <s v="South America"/>
    <s v="Chile"/>
    <x v="2"/>
    <s v="Electronics"/>
    <n v="1"/>
    <n v="84.49"/>
    <n v="84.49"/>
    <d v="2024-03-24T00:00:00"/>
    <n v="2024"/>
    <n v="3"/>
    <x v="5"/>
  </r>
  <r>
    <n v="34"/>
    <s v="Lucas Johnson"/>
    <s v="South America"/>
    <s v="Brazil"/>
    <x v="7"/>
    <s v="Home"/>
    <n v="2"/>
    <n v="38.92"/>
    <n v="77.84"/>
    <d v="2024-01-02T00:00:00"/>
    <n v="2024"/>
    <n v="1"/>
    <x v="7"/>
  </r>
  <r>
    <n v="35"/>
    <s v="Lucas Harris"/>
    <s v="Europe"/>
    <s v="Italy"/>
    <x v="9"/>
    <s v="Electronics"/>
    <n v="4"/>
    <n v="172.9"/>
    <n v="691.6"/>
    <d v="2024-03-18T00:00:00"/>
    <n v="2024"/>
    <n v="3"/>
    <x v="5"/>
  </r>
  <r>
    <n v="36"/>
    <s v="John Smith"/>
    <s v="Oceania"/>
    <s v="Australia"/>
    <x v="4"/>
    <s v="Accessories"/>
    <n v="3"/>
    <n v="178.65"/>
    <n v="535.95000000000005"/>
    <d v="2024-05-06T00:00:00"/>
    <n v="2024"/>
    <n v="5"/>
    <x v="3"/>
  </r>
  <r>
    <n v="37"/>
    <s v="Liam Smith"/>
    <s v="South America"/>
    <s v="Argentina"/>
    <x v="8"/>
    <s v="Stationery"/>
    <n v="1"/>
    <n v="64.19"/>
    <n v="64.19"/>
    <d v="2024-08-03T00:00:00"/>
    <n v="2024"/>
    <n v="8"/>
    <x v="0"/>
  </r>
  <r>
    <n v="38"/>
    <s v="Emma White"/>
    <s v="Europe"/>
    <s v="Spain"/>
    <x v="6"/>
    <s v="Electronics"/>
    <n v="3"/>
    <n v="168.06"/>
    <n v="504.18"/>
    <d v="2024-07-13T00:00:00"/>
    <n v="2024"/>
    <n v="7"/>
    <x v="6"/>
  </r>
  <r>
    <n v="39"/>
    <s v="John Martin"/>
    <s v="Oceania"/>
    <s v="New Zealand"/>
    <x v="1"/>
    <s v="Sports"/>
    <n v="4"/>
    <n v="169.06"/>
    <n v="676.24"/>
    <d v="2024-07-06T00:00:00"/>
    <n v="2024"/>
    <n v="7"/>
    <x v="6"/>
  </r>
  <r>
    <n v="40"/>
    <s v="James Martin"/>
    <s v="North America"/>
    <s v="Mexico"/>
    <x v="7"/>
    <s v="Home"/>
    <n v="4"/>
    <n v="18.2"/>
    <n v="72.8"/>
    <d v="2024-02-11T00:00:00"/>
    <n v="2024"/>
    <n v="2"/>
    <x v="9"/>
  </r>
  <r>
    <n v="41"/>
    <s v="John Thompson"/>
    <s v="South America"/>
    <s v="Argentina"/>
    <x v="4"/>
    <s v="Accessories"/>
    <n v="3"/>
    <n v="100.86"/>
    <n v="302.58"/>
    <d v="2024-05-21T00:00:00"/>
    <n v="2024"/>
    <n v="5"/>
    <x v="3"/>
  </r>
  <r>
    <n v="42"/>
    <s v="Amelia Taylor"/>
    <s v="Asia"/>
    <s v="South Korea"/>
    <x v="1"/>
    <s v="Sports"/>
    <n v="2"/>
    <n v="129"/>
    <n v="258"/>
    <d v="2024-04-01T00:00:00"/>
    <n v="2024"/>
    <n v="4"/>
    <x v="2"/>
  </r>
  <r>
    <n v="43"/>
    <s v="John White"/>
    <s v="Oceania"/>
    <s v="Australia"/>
    <x v="8"/>
    <s v="Stationery"/>
    <n v="5"/>
    <n v="106.77"/>
    <n v="533.85"/>
    <d v="2024-06-16T00:00:00"/>
    <n v="2024"/>
    <n v="6"/>
    <x v="4"/>
  </r>
  <r>
    <n v="44"/>
    <s v="Isabella Smith"/>
    <s v="Asia"/>
    <s v="Japan"/>
    <x v="3"/>
    <s v="Sports"/>
    <n v="1"/>
    <n v="123.87"/>
    <n v="123.87"/>
    <d v="2024-02-21T00:00:00"/>
    <n v="2024"/>
    <n v="2"/>
    <x v="9"/>
  </r>
  <r>
    <n v="45"/>
    <s v="Liam Smith"/>
    <s v="North America"/>
    <s v="Canada"/>
    <x v="0"/>
    <s v="Travel"/>
    <n v="4"/>
    <n v="164.78"/>
    <n v="659.12"/>
    <d v="2024-03-03T00:00:00"/>
    <n v="2024"/>
    <n v="3"/>
    <x v="5"/>
  </r>
  <r>
    <n v="46"/>
    <s v="Ava Taylor"/>
    <s v="North America"/>
    <s v="Canada"/>
    <x v="9"/>
    <s v="Electronics"/>
    <n v="4"/>
    <n v="179.21"/>
    <n v="716.84"/>
    <d v="2024-06-25T00:00:00"/>
    <n v="2024"/>
    <n v="6"/>
    <x v="4"/>
  </r>
  <r>
    <n v="47"/>
    <s v="Lucas Garcia"/>
    <s v="Europe"/>
    <s v="Spain"/>
    <x v="7"/>
    <s v="Home"/>
    <n v="3"/>
    <n v="174.36"/>
    <n v="523.08000000000004"/>
    <d v="2024-02-08T00:00:00"/>
    <n v="2024"/>
    <n v="2"/>
    <x v="9"/>
  </r>
  <r>
    <n v="48"/>
    <s v="John Anderson"/>
    <s v="South America"/>
    <s v="Brazil"/>
    <x v="8"/>
    <s v="Stationery"/>
    <n v="1"/>
    <n v="28.33"/>
    <n v="28.33"/>
    <d v="2024-04-01T00:00:00"/>
    <n v="2024"/>
    <n v="4"/>
    <x v="2"/>
  </r>
  <r>
    <n v="49"/>
    <s v="Mia Anderson"/>
    <s v="Europe"/>
    <s v="Germany"/>
    <x v="3"/>
    <s v="Sports"/>
    <n v="4"/>
    <n v="101.78"/>
    <n v="407.12"/>
    <d v="2024-04-14T00:00:00"/>
    <n v="2024"/>
    <n v="4"/>
    <x v="2"/>
  </r>
  <r>
    <n v="50"/>
    <s v="Noah White"/>
    <s v="North America"/>
    <s v="Canada"/>
    <x v="1"/>
    <s v="Sports"/>
    <n v="3"/>
    <n v="85.17"/>
    <n v="255.51"/>
    <d v="2024-08-26T00:00:00"/>
    <n v="2024"/>
    <n v="8"/>
    <x v="0"/>
  </r>
  <r>
    <n v="51"/>
    <s v="James Brown"/>
    <s v="Oceania"/>
    <s v="Australia"/>
    <x v="6"/>
    <s v="Electronics"/>
    <n v="2"/>
    <n v="104.47"/>
    <n v="208.94"/>
    <d v="2024-04-11T00:00:00"/>
    <n v="2024"/>
    <n v="4"/>
    <x v="2"/>
  </r>
  <r>
    <n v="52"/>
    <s v="Lucas Garcia"/>
    <s v="South America"/>
    <s v="Brazil"/>
    <x v="5"/>
    <s v="Home"/>
    <n v="5"/>
    <n v="49.44"/>
    <n v="247.2"/>
    <d v="2024-09-06T00:00:00"/>
    <n v="2024"/>
    <n v="9"/>
    <x v="1"/>
  </r>
  <r>
    <n v="53"/>
    <s v="Olivia Johnson"/>
    <s v="South America"/>
    <s v="Brazil"/>
    <x v="7"/>
    <s v="Home"/>
    <n v="5"/>
    <n v="143.61000000000001"/>
    <n v="718.05"/>
    <d v="2024-03-27T00:00:00"/>
    <n v="2024"/>
    <n v="3"/>
    <x v="5"/>
  </r>
  <r>
    <n v="54"/>
    <s v="James Martin"/>
    <s v="Asia"/>
    <s v="China"/>
    <x v="1"/>
    <s v="Sports"/>
    <n v="2"/>
    <n v="88.43"/>
    <n v="176.86"/>
    <d v="2024-10-09T00:00:00"/>
    <n v="2024"/>
    <n v="10"/>
    <x v="8"/>
  </r>
  <r>
    <n v="55"/>
    <s v="Amelia Garcia"/>
    <s v="North America"/>
    <s v="Canada"/>
    <x v="7"/>
    <s v="Home"/>
    <n v="5"/>
    <n v="194.3"/>
    <n v="971.5"/>
    <d v="2024-05-13T00:00:00"/>
    <n v="2024"/>
    <n v="5"/>
    <x v="3"/>
  </r>
  <r>
    <n v="56"/>
    <s v="Isabella Anderson"/>
    <s v="Oceania"/>
    <s v="New Zealand"/>
    <x v="3"/>
    <s v="Sports"/>
    <n v="4"/>
    <n v="66.459999999999994"/>
    <n v="265.83999999999997"/>
    <d v="2024-06-21T00:00:00"/>
    <n v="2024"/>
    <n v="6"/>
    <x v="4"/>
  </r>
  <r>
    <n v="57"/>
    <s v="John Taylor"/>
    <s v="Europe"/>
    <s v="Poland"/>
    <x v="0"/>
    <s v="Travel"/>
    <n v="4"/>
    <n v="126.1"/>
    <n v="504.4"/>
    <d v="2024-03-15T00:00:00"/>
    <n v="2024"/>
    <n v="3"/>
    <x v="5"/>
  </r>
  <r>
    <n v="58"/>
    <s v="Ethan Garcia"/>
    <s v="Oceania"/>
    <s v="New Zealand"/>
    <x v="2"/>
    <s v="Electronics"/>
    <n v="2"/>
    <n v="146.78"/>
    <n v="293.56"/>
    <d v="2024-10-27T00:00:00"/>
    <n v="2024"/>
    <n v="10"/>
    <x v="8"/>
  </r>
  <r>
    <n v="59"/>
    <s v="Liam Smith"/>
    <s v="North America"/>
    <s v="Canada"/>
    <x v="4"/>
    <s v="Accessories"/>
    <n v="3"/>
    <n v="122.06"/>
    <n v="366.18"/>
    <d v="2024-03-27T00:00:00"/>
    <n v="2024"/>
    <n v="3"/>
    <x v="5"/>
  </r>
  <r>
    <n v="60"/>
    <s v="Harper Garcia"/>
    <s v="Oceania"/>
    <s v="New Zealand"/>
    <x v="8"/>
    <s v="Stationery"/>
    <n v="2"/>
    <n v="197.16"/>
    <n v="394.32"/>
    <d v="2024-04-02T00:00:00"/>
    <n v="2024"/>
    <n v="4"/>
    <x v="2"/>
  </r>
  <r>
    <n v="61"/>
    <s v="Amelia Johnson"/>
    <s v="Oceania"/>
    <s v="New Zealand"/>
    <x v="1"/>
    <s v="Sports"/>
    <n v="2"/>
    <n v="173.87"/>
    <n v="347.74"/>
    <d v="2024-09-02T00:00:00"/>
    <n v="2024"/>
    <n v="9"/>
    <x v="1"/>
  </r>
  <r>
    <n v="62"/>
    <s v="Isabella White"/>
    <s v="Oceania"/>
    <s v="Australia"/>
    <x v="1"/>
    <s v="Sports"/>
    <n v="5"/>
    <n v="158.94"/>
    <n v="794.7"/>
    <d v="2024-07-10T00:00:00"/>
    <n v="2024"/>
    <n v="7"/>
    <x v="6"/>
  </r>
  <r>
    <n v="63"/>
    <s v="Benjamin Harris"/>
    <s v="Europe"/>
    <s v="Germany"/>
    <x v="3"/>
    <s v="Sports"/>
    <n v="2"/>
    <n v="189.21"/>
    <n v="378.42"/>
    <d v="2024-08-14T00:00:00"/>
    <n v="2024"/>
    <n v="8"/>
    <x v="0"/>
  </r>
  <r>
    <n v="64"/>
    <s v="Ethan Harris"/>
    <s v="Oceania"/>
    <s v="New Zealand"/>
    <x v="8"/>
    <s v="Stationery"/>
    <n v="4"/>
    <n v="169.46"/>
    <n v="677.84"/>
    <d v="2024-07-08T00:00:00"/>
    <n v="2024"/>
    <n v="7"/>
    <x v="6"/>
  </r>
  <r>
    <n v="65"/>
    <s v="Ethan Brown"/>
    <s v="South America"/>
    <s v="Chile"/>
    <x v="7"/>
    <s v="Home"/>
    <n v="1"/>
    <n v="137.55000000000001"/>
    <n v="137.55000000000001"/>
    <d v="2024-10-04T00:00:00"/>
    <n v="2024"/>
    <n v="10"/>
    <x v="8"/>
  </r>
  <r>
    <n v="66"/>
    <s v="Benjamin Thompson"/>
    <s v="Europe"/>
    <s v="Germany"/>
    <x v="2"/>
    <s v="Electronics"/>
    <n v="3"/>
    <n v="127.15"/>
    <n v="381.45"/>
    <d v="2024-01-16T00:00:00"/>
    <n v="2024"/>
    <n v="1"/>
    <x v="7"/>
  </r>
  <r>
    <n v="67"/>
    <s v="Mia Thompson"/>
    <s v="Asia"/>
    <s v="India"/>
    <x v="1"/>
    <s v="Sports"/>
    <n v="5"/>
    <n v="56.1"/>
    <n v="280.5"/>
    <d v="2024-10-26T00:00:00"/>
    <n v="2024"/>
    <n v="10"/>
    <x v="8"/>
  </r>
  <r>
    <n v="68"/>
    <s v="Mia Thompson"/>
    <s v="Europe"/>
    <s v="France"/>
    <x v="3"/>
    <s v="Sports"/>
    <n v="3"/>
    <n v="17.239999999999998"/>
    <n v="51.72"/>
    <d v="2024-05-29T00:00:00"/>
    <n v="2024"/>
    <n v="5"/>
    <x v="3"/>
  </r>
  <r>
    <n v="69"/>
    <s v="Liam Thompson"/>
    <s v="Asia"/>
    <s v="China"/>
    <x v="5"/>
    <s v="Home"/>
    <n v="4"/>
    <n v="31.34"/>
    <n v="125.36"/>
    <d v="2024-10-20T00:00:00"/>
    <n v="2024"/>
    <n v="10"/>
    <x v="8"/>
  </r>
  <r>
    <n v="70"/>
    <s v="Benjamin Thompson"/>
    <s v="Europe"/>
    <s v="Germany"/>
    <x v="8"/>
    <s v="Stationery"/>
    <n v="3"/>
    <n v="192.22"/>
    <n v="576.66"/>
    <d v="2024-04-05T00:00:00"/>
    <n v="2024"/>
    <n v="4"/>
    <x v="2"/>
  </r>
  <r>
    <n v="71"/>
    <s v="James Garcia"/>
    <s v="Europe"/>
    <s v="Italy"/>
    <x v="0"/>
    <s v="Travel"/>
    <n v="2"/>
    <n v="45.29"/>
    <n v="90.58"/>
    <d v="2024-02-05T00:00:00"/>
    <n v="2024"/>
    <n v="2"/>
    <x v="9"/>
  </r>
  <r>
    <n v="72"/>
    <s v="Olivia Thompson"/>
    <s v="Europe"/>
    <s v="Germany"/>
    <x v="9"/>
    <s v="Electronics"/>
    <n v="4"/>
    <n v="84.62"/>
    <n v="338.48"/>
    <d v="2024-04-22T00:00:00"/>
    <n v="2024"/>
    <n v="4"/>
    <x v="2"/>
  </r>
  <r>
    <n v="73"/>
    <s v="John Harris"/>
    <s v="Europe"/>
    <s v="France"/>
    <x v="4"/>
    <s v="Accessories"/>
    <n v="5"/>
    <n v="39.9"/>
    <n v="199.5"/>
    <d v="2024-02-07T00:00:00"/>
    <n v="2024"/>
    <n v="2"/>
    <x v="9"/>
  </r>
  <r>
    <n v="74"/>
    <s v="Charlotte Harris"/>
    <s v="South America"/>
    <s v="Brazil"/>
    <x v="6"/>
    <s v="Electronics"/>
    <n v="3"/>
    <n v="145.62"/>
    <n v="436.86"/>
    <d v="2024-04-01T00:00:00"/>
    <n v="2024"/>
    <n v="4"/>
    <x v="2"/>
  </r>
  <r>
    <n v="75"/>
    <s v="Ava Harris"/>
    <s v="Europe"/>
    <s v="Germany"/>
    <x v="3"/>
    <s v="Sports"/>
    <n v="1"/>
    <n v="72.14"/>
    <n v="72.14"/>
    <d v="2024-04-16T00:00:00"/>
    <n v="2024"/>
    <n v="4"/>
    <x v="2"/>
  </r>
  <r>
    <n v="76"/>
    <s v="Mason Brown"/>
    <s v="South America"/>
    <s v="Brazil"/>
    <x v="8"/>
    <s v="Stationery"/>
    <n v="4"/>
    <n v="188"/>
    <n v="752"/>
    <d v="2024-03-18T00:00:00"/>
    <n v="2024"/>
    <n v="3"/>
    <x v="5"/>
  </r>
  <r>
    <n v="77"/>
    <s v="Benjamin Brown"/>
    <s v="North America"/>
    <s v="Mexico"/>
    <x v="3"/>
    <s v="Sports"/>
    <n v="2"/>
    <n v="14.36"/>
    <n v="28.72"/>
    <d v="2024-01-30T00:00:00"/>
    <n v="2024"/>
    <n v="1"/>
    <x v="7"/>
  </r>
  <r>
    <n v="78"/>
    <s v="Harper Thompson"/>
    <s v="North America"/>
    <s v="USA"/>
    <x v="1"/>
    <s v="Sports"/>
    <n v="3"/>
    <n v="53.11"/>
    <n v="159.33000000000001"/>
    <d v="2024-01-02T00:00:00"/>
    <n v="2024"/>
    <n v="1"/>
    <x v="7"/>
  </r>
  <r>
    <n v="79"/>
    <s v="Ethan Smith"/>
    <s v="North America"/>
    <s v="Mexico"/>
    <x v="3"/>
    <s v="Sports"/>
    <n v="2"/>
    <n v="152.86000000000001"/>
    <n v="305.72000000000003"/>
    <d v="2024-07-21T00:00:00"/>
    <n v="2024"/>
    <n v="7"/>
    <x v="6"/>
  </r>
  <r>
    <n v="80"/>
    <s v="Mason Garcia"/>
    <s v="Europe"/>
    <s v="Italy"/>
    <x v="0"/>
    <s v="Travel"/>
    <n v="2"/>
    <n v="109.24"/>
    <n v="218.48"/>
    <d v="2024-07-15T00:00:00"/>
    <n v="2024"/>
    <n v="7"/>
    <x v="6"/>
  </r>
  <r>
    <n v="81"/>
    <s v="Jacob Johnson"/>
    <s v="Oceania"/>
    <s v="New Zealand"/>
    <x v="5"/>
    <s v="Home"/>
    <n v="5"/>
    <n v="175.63"/>
    <n v="878.15"/>
    <d v="2024-06-21T00:00:00"/>
    <n v="2024"/>
    <n v="6"/>
    <x v="4"/>
  </r>
  <r>
    <n v="82"/>
    <s v="Jacob Harris"/>
    <s v="North America"/>
    <s v="USA"/>
    <x v="8"/>
    <s v="Stationery"/>
    <n v="3"/>
    <n v="36.75"/>
    <n v="110.25"/>
    <d v="2024-04-10T00:00:00"/>
    <n v="2024"/>
    <n v="4"/>
    <x v="2"/>
  </r>
  <r>
    <n v="83"/>
    <s v="Mia White"/>
    <s v="Europe"/>
    <s v="Spain"/>
    <x v="0"/>
    <s v="Travel"/>
    <n v="4"/>
    <n v="10.11"/>
    <n v="40.44"/>
    <d v="2024-08-17T00:00:00"/>
    <n v="2024"/>
    <n v="8"/>
    <x v="0"/>
  </r>
  <r>
    <n v="84"/>
    <s v="Mason Brown"/>
    <s v="Asia"/>
    <s v="China"/>
    <x v="0"/>
    <s v="Travel"/>
    <n v="5"/>
    <n v="170.4"/>
    <n v="852"/>
    <d v="2024-03-04T00:00:00"/>
    <n v="2024"/>
    <n v="3"/>
    <x v="5"/>
  </r>
  <r>
    <n v="85"/>
    <s v="Olivia White"/>
    <s v="South America"/>
    <s v="Brazil"/>
    <x v="7"/>
    <s v="Home"/>
    <n v="5"/>
    <n v="178.91"/>
    <n v="894.55"/>
    <d v="2024-09-15T00:00:00"/>
    <n v="2024"/>
    <n v="9"/>
    <x v="1"/>
  </r>
  <r>
    <n v="86"/>
    <s v="John Johnson"/>
    <s v="Asia"/>
    <s v="China"/>
    <x v="8"/>
    <s v="Stationery"/>
    <n v="1"/>
    <n v="75.39"/>
    <n v="75.39"/>
    <d v="2024-04-30T00:00:00"/>
    <n v="2024"/>
    <n v="4"/>
    <x v="2"/>
  </r>
  <r>
    <n v="87"/>
    <s v="Emma Thompson"/>
    <s v="Europe"/>
    <s v="Germany"/>
    <x v="4"/>
    <s v="Accessories"/>
    <n v="1"/>
    <n v="196.71"/>
    <n v="196.71"/>
    <d v="2024-03-21T00:00:00"/>
    <n v="2024"/>
    <n v="3"/>
    <x v="5"/>
  </r>
  <r>
    <n v="88"/>
    <s v="Charlotte Taylor"/>
    <s v="Oceania"/>
    <s v="New Zealand"/>
    <x v="7"/>
    <s v="Home"/>
    <n v="4"/>
    <n v="195.23"/>
    <n v="780.92"/>
    <d v="2024-05-18T00:00:00"/>
    <n v="2024"/>
    <n v="5"/>
    <x v="3"/>
  </r>
  <r>
    <n v="89"/>
    <s v="Isabella Smith"/>
    <s v="Europe"/>
    <s v="Germany"/>
    <x v="3"/>
    <s v="Sports"/>
    <n v="5"/>
    <n v="123.78"/>
    <n v="618.9"/>
    <d v="2024-01-28T00:00:00"/>
    <n v="2024"/>
    <n v="1"/>
    <x v="7"/>
  </r>
  <r>
    <n v="90"/>
    <s v="Olivia Brown"/>
    <s v="Oceania"/>
    <s v="New Zealand"/>
    <x v="7"/>
    <s v="Home"/>
    <n v="1"/>
    <n v="149.19999999999999"/>
    <n v="149.19999999999999"/>
    <d v="2024-05-19T00:00:00"/>
    <n v="2024"/>
    <n v="5"/>
    <x v="3"/>
  </r>
  <r>
    <n v="91"/>
    <s v="Ava Garcia"/>
    <s v="Europe"/>
    <s v="Italy"/>
    <x v="3"/>
    <s v="Sports"/>
    <n v="1"/>
    <n v="158.02000000000001"/>
    <n v="158.02000000000001"/>
    <d v="2024-04-20T00:00:00"/>
    <n v="2024"/>
    <n v="4"/>
    <x v="2"/>
  </r>
  <r>
    <n v="92"/>
    <s v="Isabella Martin"/>
    <s v="Asia"/>
    <s v="Japan"/>
    <x v="4"/>
    <s v="Accessories"/>
    <n v="5"/>
    <n v="101.81"/>
    <n v="509.05"/>
    <d v="2024-04-13T00:00:00"/>
    <n v="2024"/>
    <n v="4"/>
    <x v="2"/>
  </r>
  <r>
    <n v="93"/>
    <s v="Sophia Smith"/>
    <s v="Europe"/>
    <s v="France"/>
    <x v="7"/>
    <s v="Home"/>
    <n v="3"/>
    <n v="39.35"/>
    <n v="118.05"/>
    <d v="2024-10-17T00:00:00"/>
    <n v="2024"/>
    <n v="10"/>
    <x v="8"/>
  </r>
  <r>
    <n v="94"/>
    <s v="Charlotte Brown"/>
    <s v="North America"/>
    <s v="Mexico"/>
    <x v="2"/>
    <s v="Electronics"/>
    <n v="4"/>
    <n v="126.71"/>
    <n v="506.84"/>
    <d v="2024-02-29T00:00:00"/>
    <n v="2024"/>
    <n v="2"/>
    <x v="9"/>
  </r>
  <r>
    <n v="95"/>
    <s v="Mia Smith"/>
    <s v="Asia"/>
    <s v="Japan"/>
    <x v="9"/>
    <s v="Electronics"/>
    <n v="2"/>
    <n v="82.1"/>
    <n v="164.2"/>
    <d v="2024-07-24T00:00:00"/>
    <n v="2024"/>
    <n v="7"/>
    <x v="6"/>
  </r>
  <r>
    <n v="96"/>
    <s v="Charlotte Anderson"/>
    <s v="Europe"/>
    <s v="Spain"/>
    <x v="8"/>
    <s v="Stationery"/>
    <n v="4"/>
    <n v="118.23"/>
    <n v="472.92"/>
    <d v="2024-02-05T00:00:00"/>
    <n v="2024"/>
    <n v="2"/>
    <x v="9"/>
  </r>
  <r>
    <n v="97"/>
    <s v="Jacob Taylor"/>
    <s v="South America"/>
    <s v="Chile"/>
    <x v="9"/>
    <s v="Electronics"/>
    <n v="3"/>
    <n v="175.11"/>
    <n v="525.33000000000004"/>
    <d v="2024-03-25T00:00:00"/>
    <n v="2024"/>
    <n v="3"/>
    <x v="5"/>
  </r>
  <r>
    <n v="98"/>
    <s v="Mason Brown"/>
    <s v="Oceania"/>
    <s v="New Zealand"/>
    <x v="6"/>
    <s v="Electronics"/>
    <n v="5"/>
    <n v="177.81"/>
    <n v="889.05"/>
    <d v="2024-08-01T00:00:00"/>
    <n v="2024"/>
    <n v="8"/>
    <x v="0"/>
  </r>
  <r>
    <n v="99"/>
    <s v="Ethan Harris"/>
    <s v="North America"/>
    <s v="USA"/>
    <x v="5"/>
    <s v="Home"/>
    <n v="4"/>
    <n v="190.28"/>
    <n v="761.12"/>
    <d v="2024-03-23T00:00:00"/>
    <n v="2024"/>
    <n v="3"/>
    <x v="5"/>
  </r>
  <r>
    <n v="100"/>
    <s v="John White"/>
    <s v="Oceania"/>
    <s v="New Zealand"/>
    <x v="0"/>
    <s v="Travel"/>
    <n v="4"/>
    <n v="19.45"/>
    <n v="77.8"/>
    <d v="2024-02-07T00:00:00"/>
    <n v="2024"/>
    <n v="2"/>
    <x v="9"/>
  </r>
  <r>
    <n v="101"/>
    <s v="James Anderson"/>
    <s v="Europe"/>
    <s v="Germany"/>
    <x v="2"/>
    <s v="Electronics"/>
    <n v="3"/>
    <n v="14.84"/>
    <n v="44.52"/>
    <d v="2024-08-27T00:00:00"/>
    <n v="2024"/>
    <n v="8"/>
    <x v="0"/>
  </r>
  <r>
    <n v="102"/>
    <s v="James Johnson"/>
    <s v="Asia"/>
    <s v="China"/>
    <x v="6"/>
    <s v="Electronics"/>
    <n v="1"/>
    <n v="83.09"/>
    <n v="83.09"/>
    <d v="2024-02-12T00:00:00"/>
    <n v="2024"/>
    <n v="2"/>
    <x v="9"/>
  </r>
  <r>
    <n v="103"/>
    <s v="Harper Martin"/>
    <s v="South America"/>
    <s v="Argentina"/>
    <x v="4"/>
    <s v="Accessories"/>
    <n v="4"/>
    <n v="81.2"/>
    <n v="324.8"/>
    <d v="2024-05-19T00:00:00"/>
    <n v="2024"/>
    <n v="5"/>
    <x v="3"/>
  </r>
  <r>
    <n v="104"/>
    <s v="John Taylor"/>
    <s v="North America"/>
    <s v="Mexico"/>
    <x v="8"/>
    <s v="Stationery"/>
    <n v="1"/>
    <n v="187.85"/>
    <n v="187.85"/>
    <d v="2024-04-17T00:00:00"/>
    <n v="2024"/>
    <n v="4"/>
    <x v="2"/>
  </r>
  <r>
    <n v="105"/>
    <s v="Charlotte Taylor"/>
    <s v="Europe"/>
    <s v="Germany"/>
    <x v="6"/>
    <s v="Electronics"/>
    <n v="2"/>
    <n v="46.97"/>
    <n v="93.94"/>
    <d v="2024-05-10T00:00:00"/>
    <n v="2024"/>
    <n v="5"/>
    <x v="3"/>
  </r>
  <r>
    <n v="106"/>
    <s v="Isabella Martin"/>
    <s v="North America"/>
    <s v="Canada"/>
    <x v="5"/>
    <s v="Home"/>
    <n v="1"/>
    <n v="27.68"/>
    <n v="27.68"/>
    <d v="2024-06-06T00:00:00"/>
    <n v="2024"/>
    <n v="6"/>
    <x v="4"/>
  </r>
  <r>
    <n v="107"/>
    <s v="Mia Johnson"/>
    <s v="South America"/>
    <s v="Chile"/>
    <x v="6"/>
    <s v="Electronics"/>
    <n v="2"/>
    <n v="162.06"/>
    <n v="324.12"/>
    <d v="2024-03-06T00:00:00"/>
    <n v="2024"/>
    <n v="3"/>
    <x v="5"/>
  </r>
  <r>
    <n v="108"/>
    <s v="Lucas Martin"/>
    <s v="Europe"/>
    <s v="Italy"/>
    <x v="0"/>
    <s v="Travel"/>
    <n v="1"/>
    <n v="89.7"/>
    <n v="89.7"/>
    <d v="2024-01-29T00:00:00"/>
    <n v="2024"/>
    <n v="1"/>
    <x v="7"/>
  </r>
  <r>
    <n v="109"/>
    <s v="Charlotte Taylor"/>
    <s v="Europe"/>
    <s v="Italy"/>
    <x v="3"/>
    <s v="Sports"/>
    <n v="5"/>
    <n v="81.13"/>
    <n v="405.65"/>
    <d v="2024-08-16T00:00:00"/>
    <n v="2024"/>
    <n v="8"/>
    <x v="0"/>
  </r>
  <r>
    <n v="110"/>
    <s v="Mia Brown"/>
    <s v="Europe"/>
    <s v="Poland"/>
    <x v="7"/>
    <s v="Home"/>
    <n v="3"/>
    <n v="67.61"/>
    <n v="202.83"/>
    <d v="2024-05-06T00:00:00"/>
    <n v="2024"/>
    <n v="5"/>
    <x v="3"/>
  </r>
  <r>
    <n v="111"/>
    <s v="Amelia Smith"/>
    <s v="South America"/>
    <s v="Chile"/>
    <x v="0"/>
    <s v="Travel"/>
    <n v="2"/>
    <n v="97.54"/>
    <n v="195.08"/>
    <d v="2024-09-08T00:00:00"/>
    <n v="2024"/>
    <n v="9"/>
    <x v="1"/>
  </r>
  <r>
    <n v="112"/>
    <s v="Liam Thompson"/>
    <s v="Asia"/>
    <s v="Japan"/>
    <x v="0"/>
    <s v="Travel"/>
    <n v="3"/>
    <n v="135.59"/>
    <n v="406.77"/>
    <d v="2024-04-24T00:00:00"/>
    <n v="2024"/>
    <n v="4"/>
    <x v="2"/>
  </r>
  <r>
    <n v="113"/>
    <s v="Sophia Garcia"/>
    <s v="Europe"/>
    <s v="France"/>
    <x v="9"/>
    <s v="Electronics"/>
    <n v="5"/>
    <n v="181.25"/>
    <n v="906.25"/>
    <d v="2024-06-20T00:00:00"/>
    <n v="2024"/>
    <n v="6"/>
    <x v="4"/>
  </r>
  <r>
    <n v="114"/>
    <s v="Noah Thompson"/>
    <s v="North America"/>
    <s v="Canada"/>
    <x v="2"/>
    <s v="Electronics"/>
    <n v="3"/>
    <n v="185.14"/>
    <n v="555.41999999999996"/>
    <d v="2024-06-19T00:00:00"/>
    <n v="2024"/>
    <n v="6"/>
    <x v="4"/>
  </r>
  <r>
    <n v="115"/>
    <s v="Isabella Thompson"/>
    <s v="South America"/>
    <s v="Chile"/>
    <x v="2"/>
    <s v="Electronics"/>
    <n v="2"/>
    <n v="187.45"/>
    <n v="374.9"/>
    <d v="2024-01-31T00:00:00"/>
    <n v="2024"/>
    <n v="1"/>
    <x v="7"/>
  </r>
  <r>
    <n v="116"/>
    <s v="Benjamin Harris"/>
    <s v="South America"/>
    <s v="Brazil"/>
    <x v="7"/>
    <s v="Home"/>
    <n v="2"/>
    <n v="91.64"/>
    <n v="183.28"/>
    <d v="2024-06-20T00:00:00"/>
    <n v="2024"/>
    <n v="6"/>
    <x v="4"/>
  </r>
  <r>
    <n v="117"/>
    <s v="Isabella Johnson"/>
    <s v="South America"/>
    <s v="Brazil"/>
    <x v="1"/>
    <s v="Sports"/>
    <n v="5"/>
    <n v="83.76"/>
    <n v="418.8"/>
    <d v="2024-05-03T00:00:00"/>
    <n v="2024"/>
    <n v="5"/>
    <x v="3"/>
  </r>
  <r>
    <n v="118"/>
    <s v="Ava Brown"/>
    <s v="North America"/>
    <s v="Canada"/>
    <x v="7"/>
    <s v="Home"/>
    <n v="2"/>
    <n v="194.61"/>
    <n v="389.22"/>
    <d v="2024-10-15T00:00:00"/>
    <n v="2024"/>
    <n v="10"/>
    <x v="8"/>
  </r>
  <r>
    <n v="119"/>
    <s v="Olivia Anderson"/>
    <s v="Asia"/>
    <s v="India"/>
    <x v="4"/>
    <s v="Accessories"/>
    <n v="1"/>
    <n v="99.57"/>
    <n v="99.57"/>
    <d v="2024-07-04T00:00:00"/>
    <n v="2024"/>
    <n v="7"/>
    <x v="6"/>
  </r>
  <r>
    <n v="120"/>
    <s v="Jacob White"/>
    <s v="Europe"/>
    <s v="France"/>
    <x v="3"/>
    <s v="Sports"/>
    <n v="5"/>
    <n v="60.81"/>
    <n v="304.05"/>
    <d v="2024-07-06T00:00:00"/>
    <n v="2024"/>
    <n v="7"/>
    <x v="6"/>
  </r>
  <r>
    <n v="121"/>
    <s v="Benjamin Brown"/>
    <s v="Asia"/>
    <s v="Japan"/>
    <x v="7"/>
    <s v="Home"/>
    <n v="2"/>
    <n v="37.65"/>
    <n v="75.3"/>
    <d v="2024-10-22T00:00:00"/>
    <n v="2024"/>
    <n v="10"/>
    <x v="8"/>
  </r>
  <r>
    <n v="122"/>
    <s v="Emma Johnson"/>
    <s v="Oceania"/>
    <s v="New Zealand"/>
    <x v="2"/>
    <s v="Electronics"/>
    <n v="3"/>
    <n v="142.47"/>
    <n v="427.41"/>
    <d v="2024-07-15T00:00:00"/>
    <n v="2024"/>
    <n v="7"/>
    <x v="6"/>
  </r>
  <r>
    <n v="123"/>
    <s v="Ethan Taylor"/>
    <s v="South America"/>
    <s v="Argentina"/>
    <x v="8"/>
    <s v="Stationery"/>
    <n v="2"/>
    <n v="192.92"/>
    <n v="385.84"/>
    <d v="2024-10-19T00:00:00"/>
    <n v="2024"/>
    <n v="10"/>
    <x v="8"/>
  </r>
  <r>
    <n v="124"/>
    <s v="Mason Garcia"/>
    <s v="Europe"/>
    <s v="Poland"/>
    <x v="9"/>
    <s v="Electronics"/>
    <n v="3"/>
    <n v="64.62"/>
    <n v="193.86"/>
    <d v="2024-09-18T00:00:00"/>
    <n v="2024"/>
    <n v="9"/>
    <x v="1"/>
  </r>
  <r>
    <n v="125"/>
    <s v="Olivia Harris"/>
    <s v="Asia"/>
    <s v="India"/>
    <x v="7"/>
    <s v="Home"/>
    <n v="3"/>
    <n v="144.09"/>
    <n v="432.27"/>
    <d v="2024-01-31T00:00:00"/>
    <n v="2024"/>
    <n v="1"/>
    <x v="7"/>
  </r>
  <r>
    <n v="126"/>
    <s v="Charlotte White"/>
    <s v="Oceania"/>
    <s v="New Zealand"/>
    <x v="2"/>
    <s v="Electronics"/>
    <n v="4"/>
    <n v="158.29"/>
    <n v="633.16"/>
    <d v="2024-04-10T00:00:00"/>
    <n v="2024"/>
    <n v="4"/>
    <x v="2"/>
  </r>
  <r>
    <n v="127"/>
    <s v="Mia Thompson"/>
    <s v="Europe"/>
    <s v="Poland"/>
    <x v="3"/>
    <s v="Sports"/>
    <n v="2"/>
    <n v="79.69"/>
    <n v="159.38"/>
    <d v="2024-01-05T00:00:00"/>
    <n v="2024"/>
    <n v="1"/>
    <x v="7"/>
  </r>
  <r>
    <n v="128"/>
    <s v="John Martin"/>
    <s v="Oceania"/>
    <s v="Australia"/>
    <x v="8"/>
    <s v="Stationery"/>
    <n v="1"/>
    <n v="62.04"/>
    <n v="62.04"/>
    <d v="2024-07-08T00:00:00"/>
    <n v="2024"/>
    <n v="7"/>
    <x v="6"/>
  </r>
  <r>
    <n v="129"/>
    <s v="Harper Smith"/>
    <s v="North America"/>
    <s v="Canada"/>
    <x v="6"/>
    <s v="Electronics"/>
    <n v="2"/>
    <n v="147.65"/>
    <n v="295.3"/>
    <d v="2024-04-13T00:00:00"/>
    <n v="2024"/>
    <n v="4"/>
    <x v="2"/>
  </r>
  <r>
    <n v="130"/>
    <s v="Mason Smith"/>
    <s v="Europe"/>
    <s v="Spain"/>
    <x v="3"/>
    <s v="Sports"/>
    <n v="1"/>
    <n v="10.56"/>
    <n v="10.56"/>
    <d v="2024-02-20T00:00:00"/>
    <n v="2024"/>
    <n v="2"/>
    <x v="9"/>
  </r>
  <r>
    <n v="131"/>
    <s v="Sophia Johnson"/>
    <s v="South America"/>
    <s v="Chile"/>
    <x v="0"/>
    <s v="Travel"/>
    <n v="3"/>
    <n v="74.709999999999994"/>
    <n v="224.13"/>
    <d v="2024-08-09T00:00:00"/>
    <n v="2024"/>
    <n v="8"/>
    <x v="0"/>
  </r>
  <r>
    <n v="132"/>
    <s v="Amelia Martin"/>
    <s v="Oceania"/>
    <s v="New Zealand"/>
    <x v="9"/>
    <s v="Electronics"/>
    <n v="5"/>
    <n v="34.19"/>
    <n v="170.95"/>
    <d v="2024-10-25T00:00:00"/>
    <n v="2024"/>
    <n v="10"/>
    <x v="8"/>
  </r>
  <r>
    <n v="133"/>
    <s v="Noah Harris"/>
    <s v="North America"/>
    <s v="Mexico"/>
    <x v="8"/>
    <s v="Stationery"/>
    <n v="1"/>
    <n v="146.46"/>
    <n v="146.46"/>
    <d v="2024-01-02T00:00:00"/>
    <n v="2024"/>
    <n v="1"/>
    <x v="7"/>
  </r>
  <r>
    <n v="134"/>
    <s v="James Garcia"/>
    <s v="Asia"/>
    <s v="India"/>
    <x v="3"/>
    <s v="Sports"/>
    <n v="1"/>
    <n v="191.81"/>
    <n v="191.81"/>
    <d v="2024-04-04T00:00:00"/>
    <n v="2024"/>
    <n v="4"/>
    <x v="2"/>
  </r>
  <r>
    <n v="135"/>
    <s v="Emma Brown"/>
    <s v="North America"/>
    <s v="Canada"/>
    <x v="3"/>
    <s v="Sports"/>
    <n v="3"/>
    <n v="24.01"/>
    <n v="72.03"/>
    <d v="2024-07-18T00:00:00"/>
    <n v="2024"/>
    <n v="7"/>
    <x v="6"/>
  </r>
  <r>
    <n v="136"/>
    <s v="Liam Smith"/>
    <s v="Oceania"/>
    <s v="Australia"/>
    <x v="1"/>
    <s v="Sports"/>
    <n v="5"/>
    <n v="62.2"/>
    <n v="311"/>
    <d v="2024-01-04T00:00:00"/>
    <n v="2024"/>
    <n v="1"/>
    <x v="7"/>
  </r>
  <r>
    <n v="137"/>
    <s v="Sophia Martin"/>
    <s v="Asia"/>
    <s v="Japan"/>
    <x v="4"/>
    <s v="Accessories"/>
    <n v="1"/>
    <n v="181.69"/>
    <n v="181.69"/>
    <d v="2024-01-31T00:00:00"/>
    <n v="2024"/>
    <n v="1"/>
    <x v="7"/>
  </r>
  <r>
    <n v="138"/>
    <s v="Liam Thompson"/>
    <s v="Europe"/>
    <s v="Italy"/>
    <x v="5"/>
    <s v="Home"/>
    <n v="3"/>
    <n v="153.76"/>
    <n v="461.28"/>
    <d v="2024-03-09T00:00:00"/>
    <n v="2024"/>
    <n v="3"/>
    <x v="5"/>
  </r>
  <r>
    <n v="139"/>
    <s v="Olivia Martin"/>
    <s v="Europe"/>
    <s v="Spain"/>
    <x v="2"/>
    <s v="Electronics"/>
    <n v="5"/>
    <n v="37.43"/>
    <n v="187.15"/>
    <d v="2024-06-05T00:00:00"/>
    <n v="2024"/>
    <n v="6"/>
    <x v="4"/>
  </r>
  <r>
    <n v="140"/>
    <s v="Jacob Johnson"/>
    <s v="South America"/>
    <s v="Brazil"/>
    <x v="3"/>
    <s v="Sports"/>
    <n v="4"/>
    <n v="154.69999999999999"/>
    <n v="618.79999999999995"/>
    <d v="2024-06-12T00:00:00"/>
    <n v="2024"/>
    <n v="6"/>
    <x v="4"/>
  </r>
  <r>
    <n v="141"/>
    <s v="Lucas Martin"/>
    <s v="Europe"/>
    <s v="Italy"/>
    <x v="1"/>
    <s v="Sports"/>
    <n v="2"/>
    <n v="167.24"/>
    <n v="334.48"/>
    <d v="2024-02-03T00:00:00"/>
    <n v="2024"/>
    <n v="2"/>
    <x v="9"/>
  </r>
  <r>
    <n v="142"/>
    <s v="Charlotte Harris"/>
    <s v="North America"/>
    <s v="USA"/>
    <x v="1"/>
    <s v="Sports"/>
    <n v="2"/>
    <n v="43.17"/>
    <n v="86.34"/>
    <d v="2024-09-23T00:00:00"/>
    <n v="2024"/>
    <n v="9"/>
    <x v="1"/>
  </r>
  <r>
    <n v="143"/>
    <s v="Jacob Brown"/>
    <s v="Oceania"/>
    <s v="New Zealand"/>
    <x v="8"/>
    <s v="Stationery"/>
    <n v="2"/>
    <n v="124.83"/>
    <n v="249.66"/>
    <d v="2024-04-07T00:00:00"/>
    <n v="2024"/>
    <n v="4"/>
    <x v="2"/>
  </r>
  <r>
    <n v="144"/>
    <s v="Noah Taylor"/>
    <s v="Asia"/>
    <s v="India"/>
    <x v="7"/>
    <s v="Home"/>
    <n v="4"/>
    <n v="127.02"/>
    <n v="508.08"/>
    <d v="2024-04-06T00:00:00"/>
    <n v="2024"/>
    <n v="4"/>
    <x v="2"/>
  </r>
  <r>
    <n v="145"/>
    <s v="Benjamin Anderson"/>
    <s v="Asia"/>
    <s v="China"/>
    <x v="1"/>
    <s v="Sports"/>
    <n v="2"/>
    <n v="13.88"/>
    <n v="27.76"/>
    <d v="2024-02-09T00:00:00"/>
    <n v="2024"/>
    <n v="2"/>
    <x v="9"/>
  </r>
  <r>
    <n v="146"/>
    <s v="Mia Anderson"/>
    <s v="Oceania"/>
    <s v="New Zealand"/>
    <x v="4"/>
    <s v="Accessories"/>
    <n v="5"/>
    <n v="138.19"/>
    <n v="690.95"/>
    <d v="2024-08-20T00:00:00"/>
    <n v="2024"/>
    <n v="8"/>
    <x v="0"/>
  </r>
  <r>
    <n v="147"/>
    <s v="Isabella White"/>
    <s v="North America"/>
    <s v="Mexico"/>
    <x v="2"/>
    <s v="Electronics"/>
    <n v="4"/>
    <n v="22.58"/>
    <n v="90.32"/>
    <d v="2024-06-18T00:00:00"/>
    <n v="2024"/>
    <n v="6"/>
    <x v="4"/>
  </r>
  <r>
    <n v="148"/>
    <s v="Mason Smith"/>
    <s v="South America"/>
    <s v="Argentina"/>
    <x v="0"/>
    <s v="Travel"/>
    <n v="2"/>
    <n v="170.9"/>
    <n v="341.8"/>
    <d v="2024-05-28T00:00:00"/>
    <n v="2024"/>
    <n v="5"/>
    <x v="3"/>
  </r>
  <r>
    <n v="149"/>
    <s v="Benjamin Anderson"/>
    <s v="Europe"/>
    <s v="Germany"/>
    <x v="7"/>
    <s v="Home"/>
    <n v="1"/>
    <n v="11.93"/>
    <n v="11.93"/>
    <d v="2024-10-09T00:00:00"/>
    <n v="2024"/>
    <n v="10"/>
    <x v="8"/>
  </r>
  <r>
    <n v="150"/>
    <s v="Isabella Smith"/>
    <s v="Asia"/>
    <s v="Japan"/>
    <x v="6"/>
    <s v="Electronics"/>
    <n v="4"/>
    <n v="198.02"/>
    <n v="792.08"/>
    <d v="2024-02-28T00:00:00"/>
    <n v="2024"/>
    <n v="2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s v="Isabella Brown"/>
    <x v="0"/>
    <s v="Mexico"/>
    <s v="Backpack"/>
    <x v="0"/>
    <n v="3"/>
    <n v="60.24"/>
    <n v="180.72"/>
    <d v="2024-08-04T00:00:00"/>
    <n v="2024"/>
    <n v="8"/>
    <s v="2024-08"/>
  </r>
  <r>
    <n v="2"/>
    <s v="Sophia Harris"/>
    <x v="1"/>
    <s v="New Zealand"/>
    <s v="Backpack"/>
    <x v="0"/>
    <n v="5"/>
    <n v="85.58"/>
    <n v="427.9"/>
    <d v="2024-09-22T00:00:00"/>
    <n v="2024"/>
    <n v="9"/>
    <s v="2024-09"/>
  </r>
  <r>
    <n v="3"/>
    <s v="Harper Smith"/>
    <x v="2"/>
    <s v="India"/>
    <s v="Yoga Mat"/>
    <x v="1"/>
    <n v="4"/>
    <n v="145.02000000000001"/>
    <n v="580.08000000000004"/>
    <d v="2024-04-04T00:00:00"/>
    <n v="2024"/>
    <n v="4"/>
    <s v="2024-04"/>
  </r>
  <r>
    <n v="4"/>
    <s v="Mia Taylor"/>
    <x v="2"/>
    <s v="Japan"/>
    <s v="Bluetooth Speaker"/>
    <x v="2"/>
    <n v="1"/>
    <n v="39.57"/>
    <n v="39.57"/>
    <d v="2024-05-12T00:00:00"/>
    <n v="2024"/>
    <n v="5"/>
    <s v="2024-05"/>
  </r>
  <r>
    <n v="5"/>
    <s v="Jacob White"/>
    <x v="3"/>
    <s v="Italy"/>
    <s v="Water Bottle"/>
    <x v="1"/>
    <n v="5"/>
    <n v="188.69"/>
    <n v="943.45"/>
    <d v="2024-06-04T00:00:00"/>
    <n v="2024"/>
    <n v="6"/>
    <s v="2024-06"/>
  </r>
  <r>
    <n v="6"/>
    <s v="Noah Garcia"/>
    <x v="0"/>
    <s v="USA"/>
    <s v="Phone Case"/>
    <x v="3"/>
    <n v="1"/>
    <n v="112.64"/>
    <n v="112.64"/>
    <d v="2024-08-22T00:00:00"/>
    <n v="2024"/>
    <n v="8"/>
    <s v="2024-08"/>
  </r>
  <r>
    <n v="7"/>
    <s v="Amelia White"/>
    <x v="1"/>
    <s v="New Zealand"/>
    <s v="Desk Lamp"/>
    <x v="4"/>
    <n v="3"/>
    <n v="38.47"/>
    <n v="115.41"/>
    <d v="2024-03-28T00:00:00"/>
    <n v="2024"/>
    <n v="3"/>
    <s v="2024-03"/>
  </r>
  <r>
    <n v="8"/>
    <s v="Mason White"/>
    <x v="4"/>
    <s v="Brazil"/>
    <s v="Yoga Mat"/>
    <x v="1"/>
    <n v="1"/>
    <n v="162.91"/>
    <n v="162.91"/>
    <d v="2024-09-17T00:00:00"/>
    <n v="2024"/>
    <n v="9"/>
    <s v="2024-09"/>
  </r>
  <r>
    <n v="9"/>
    <s v="Liam Thompson"/>
    <x v="0"/>
    <s v="Canada"/>
    <s v="Backpack"/>
    <x v="0"/>
    <n v="1"/>
    <n v="153.28"/>
    <n v="153.28"/>
    <d v="2024-05-24T00:00:00"/>
    <n v="2024"/>
    <n v="5"/>
    <s v="2024-05"/>
  </r>
  <r>
    <n v="10"/>
    <s v="Mia Taylor"/>
    <x v="4"/>
    <s v="Brazil"/>
    <s v="Wireless Mouse"/>
    <x v="2"/>
    <n v="2"/>
    <n v="178.34"/>
    <n v="356.68"/>
    <d v="2024-07-09T00:00:00"/>
    <n v="2024"/>
    <n v="7"/>
    <s v="2024-07"/>
  </r>
  <r>
    <n v="11"/>
    <s v="Ava Thompson"/>
    <x v="2"/>
    <s v="India"/>
    <s v="Wireless Mouse"/>
    <x v="2"/>
    <n v="3"/>
    <n v="67.400000000000006"/>
    <n v="202.2"/>
    <d v="2024-04-25T00:00:00"/>
    <n v="2024"/>
    <n v="4"/>
    <s v="2024-04"/>
  </r>
  <r>
    <n v="12"/>
    <s v="Isabella Anderson"/>
    <x v="0"/>
    <s v="Canada"/>
    <s v="Coffee Mug"/>
    <x v="4"/>
    <n v="2"/>
    <n v="181.66"/>
    <n v="363.32"/>
    <d v="2024-05-13T00:00:00"/>
    <n v="2024"/>
    <n v="5"/>
    <s v="2024-05"/>
  </r>
  <r>
    <n v="13"/>
    <s v="Sophia Anderson"/>
    <x v="2"/>
    <s v="South Korea"/>
    <s v="Bluetooth Speaker"/>
    <x v="2"/>
    <n v="4"/>
    <n v="122.4"/>
    <n v="489.6"/>
    <d v="2024-06-06T00:00:00"/>
    <n v="2024"/>
    <n v="6"/>
    <s v="2024-06"/>
  </r>
  <r>
    <n v="14"/>
    <s v="Liam Garcia"/>
    <x v="4"/>
    <s v="Brazil"/>
    <s v="Desk Lamp"/>
    <x v="4"/>
    <n v="1"/>
    <n v="100.56"/>
    <n v="100.56"/>
    <d v="2024-06-28T00:00:00"/>
    <n v="2024"/>
    <n v="6"/>
    <s v="2024-06"/>
  </r>
  <r>
    <n v="15"/>
    <s v="Sophia Garcia"/>
    <x v="0"/>
    <s v="Canada"/>
    <s v="Wireless Mouse"/>
    <x v="2"/>
    <n v="5"/>
    <n v="83.95"/>
    <n v="419.75"/>
    <d v="2024-06-03T00:00:00"/>
    <n v="2024"/>
    <n v="6"/>
    <s v="2024-06"/>
  </r>
  <r>
    <n v="16"/>
    <s v="James Thompson"/>
    <x v="1"/>
    <s v="New Zealand"/>
    <s v="Notebook"/>
    <x v="5"/>
    <n v="4"/>
    <n v="172.94"/>
    <n v="691.76"/>
    <d v="2024-03-31T00:00:00"/>
    <n v="2024"/>
    <n v="3"/>
    <s v="2024-03"/>
  </r>
  <r>
    <n v="17"/>
    <s v="Isabella Harris"/>
    <x v="4"/>
    <s v="Brazil"/>
    <s v="Desk Lamp"/>
    <x v="4"/>
    <n v="3"/>
    <n v="98.32"/>
    <n v="294.95999999999998"/>
    <d v="2024-08-27T00:00:00"/>
    <n v="2024"/>
    <n v="8"/>
    <s v="2024-08"/>
  </r>
  <r>
    <n v="18"/>
    <s v="Ethan Taylor"/>
    <x v="3"/>
    <s v="Poland"/>
    <s v="Desk Lamp"/>
    <x v="4"/>
    <n v="4"/>
    <n v="68.790000000000006"/>
    <n v="275.16000000000003"/>
    <d v="2024-06-08T00:00:00"/>
    <n v="2024"/>
    <n v="6"/>
    <s v="2024-06"/>
  </r>
  <r>
    <n v="19"/>
    <s v="Ava Thompson"/>
    <x v="4"/>
    <s v="Argentina"/>
    <s v="Backpack"/>
    <x v="0"/>
    <n v="4"/>
    <n v="110.38"/>
    <n v="441.52"/>
    <d v="2024-05-10T00:00:00"/>
    <n v="2024"/>
    <n v="5"/>
    <s v="2024-05"/>
  </r>
  <r>
    <n v="20"/>
    <s v="Noah Johnson"/>
    <x v="3"/>
    <s v="France"/>
    <s v="Backpack"/>
    <x v="0"/>
    <n v="4"/>
    <n v="133.26"/>
    <n v="533.04"/>
    <d v="2024-09-03T00:00:00"/>
    <n v="2024"/>
    <n v="9"/>
    <s v="2024-09"/>
  </r>
  <r>
    <n v="21"/>
    <s v="Sophia Smith"/>
    <x v="2"/>
    <s v="South Korea"/>
    <s v="Water Bottle"/>
    <x v="1"/>
    <n v="3"/>
    <n v="15.06"/>
    <n v="45.18"/>
    <d v="2024-06-28T00:00:00"/>
    <n v="2024"/>
    <n v="6"/>
    <s v="2024-06"/>
  </r>
  <r>
    <n v="22"/>
    <s v="Liam Taylor"/>
    <x v="0"/>
    <s v="Mexico"/>
    <s v="Smartwatch"/>
    <x v="2"/>
    <n v="5"/>
    <n v="41.09"/>
    <n v="205.45"/>
    <d v="2024-04-07T00:00:00"/>
    <n v="2024"/>
    <n v="4"/>
    <s v="2024-04"/>
  </r>
  <r>
    <n v="23"/>
    <s v="Amelia White"/>
    <x v="2"/>
    <s v="South Korea"/>
    <s v="Wireless Mouse"/>
    <x v="2"/>
    <n v="4"/>
    <n v="19.66"/>
    <n v="78.64"/>
    <d v="2024-01-03T00:00:00"/>
    <n v="2024"/>
    <n v="1"/>
    <s v="2024-01"/>
  </r>
  <r>
    <n v="24"/>
    <s v="Benjamin Martin"/>
    <x v="0"/>
    <s v="USA"/>
    <s v="Backpack"/>
    <x v="0"/>
    <n v="1"/>
    <n v="74.14"/>
    <n v="74.14"/>
    <d v="2024-04-09T00:00:00"/>
    <n v="2024"/>
    <n v="4"/>
    <s v="2024-04"/>
  </r>
  <r>
    <n v="25"/>
    <s v="Mason Harris"/>
    <x v="4"/>
    <s v="Brazil"/>
    <s v="Coffee Mug"/>
    <x v="4"/>
    <n v="1"/>
    <n v="80.11"/>
    <n v="80.11"/>
    <d v="2024-10-03T00:00:00"/>
    <n v="2024"/>
    <n v="10"/>
    <s v="2024-10"/>
  </r>
  <r>
    <n v="26"/>
    <s v="Emma Martin"/>
    <x v="1"/>
    <s v="Australia"/>
    <s v="Bluetooth Speaker"/>
    <x v="2"/>
    <n v="5"/>
    <n v="47.48"/>
    <n v="237.4"/>
    <d v="2024-05-15T00:00:00"/>
    <n v="2024"/>
    <n v="5"/>
    <s v="2024-05"/>
  </r>
  <r>
    <n v="27"/>
    <s v="Ava Johnson"/>
    <x v="4"/>
    <s v="Chile"/>
    <s v="Water Bottle"/>
    <x v="1"/>
    <n v="1"/>
    <n v="53.74"/>
    <n v="53.74"/>
    <d v="2024-05-30T00:00:00"/>
    <n v="2024"/>
    <n v="5"/>
    <s v="2024-05"/>
  </r>
  <r>
    <n v="28"/>
    <s v="Emma Brown"/>
    <x v="1"/>
    <s v="New Zealand"/>
    <s v="Phone Case"/>
    <x v="3"/>
    <n v="5"/>
    <n v="189.56"/>
    <n v="947.8"/>
    <d v="2024-03-30T00:00:00"/>
    <n v="2024"/>
    <n v="3"/>
    <s v="2024-03"/>
  </r>
  <r>
    <n v="29"/>
    <s v="Harper Smith"/>
    <x v="4"/>
    <s v="Brazil"/>
    <s v="Smartwatch"/>
    <x v="2"/>
    <n v="3"/>
    <n v="183.18"/>
    <n v="549.54"/>
    <d v="2024-05-04T00:00:00"/>
    <n v="2024"/>
    <n v="5"/>
    <s v="2024-05"/>
  </r>
  <r>
    <n v="30"/>
    <s v="Liam Thompson"/>
    <x v="0"/>
    <s v="Canada"/>
    <s v="Bluetooth Speaker"/>
    <x v="2"/>
    <n v="3"/>
    <n v="131.54"/>
    <n v="394.62"/>
    <d v="2024-08-20T00:00:00"/>
    <n v="2024"/>
    <n v="8"/>
    <s v="2024-08"/>
  </r>
  <r>
    <n v="31"/>
    <s v="Benjamin Martin"/>
    <x v="1"/>
    <s v="New Zealand"/>
    <s v="Backpack"/>
    <x v="0"/>
    <n v="1"/>
    <n v="113"/>
    <n v="113"/>
    <d v="2024-02-19T00:00:00"/>
    <n v="2024"/>
    <n v="2"/>
    <s v="2024-02"/>
  </r>
  <r>
    <n v="32"/>
    <s v="James Martin"/>
    <x v="4"/>
    <s v="Argentina"/>
    <s v="Yoga Mat"/>
    <x v="1"/>
    <n v="5"/>
    <n v="39.51"/>
    <n v="197.55"/>
    <d v="2024-02-11T00:00:00"/>
    <n v="2024"/>
    <n v="2"/>
    <s v="2024-02"/>
  </r>
  <r>
    <n v="33"/>
    <s v="Sophia Brown"/>
    <x v="4"/>
    <s v="Chile"/>
    <s v="Bluetooth Speaker"/>
    <x v="2"/>
    <n v="1"/>
    <n v="84.49"/>
    <n v="84.49"/>
    <d v="2024-03-24T00:00:00"/>
    <n v="2024"/>
    <n v="3"/>
    <s v="2024-03"/>
  </r>
  <r>
    <n v="34"/>
    <s v="Lucas Johnson"/>
    <x v="4"/>
    <s v="Brazil"/>
    <s v="Coffee Mug"/>
    <x v="4"/>
    <n v="2"/>
    <n v="38.92"/>
    <n v="77.84"/>
    <d v="2024-01-02T00:00:00"/>
    <n v="2024"/>
    <n v="1"/>
    <s v="2024-01"/>
  </r>
  <r>
    <n v="35"/>
    <s v="Lucas Harris"/>
    <x v="3"/>
    <s v="Italy"/>
    <s v="Smartwatch"/>
    <x v="2"/>
    <n v="4"/>
    <n v="172.9"/>
    <n v="691.6"/>
    <d v="2024-03-18T00:00:00"/>
    <n v="2024"/>
    <n v="3"/>
    <s v="2024-03"/>
  </r>
  <r>
    <n v="36"/>
    <s v="John Smith"/>
    <x v="1"/>
    <s v="Australia"/>
    <s v="Phone Case"/>
    <x v="3"/>
    <n v="3"/>
    <n v="178.65"/>
    <n v="535.95000000000005"/>
    <d v="2024-05-06T00:00:00"/>
    <n v="2024"/>
    <n v="5"/>
    <s v="2024-05"/>
  </r>
  <r>
    <n v="37"/>
    <s v="Liam Smith"/>
    <x v="4"/>
    <s v="Argentina"/>
    <s v="Notebook"/>
    <x v="5"/>
    <n v="1"/>
    <n v="64.19"/>
    <n v="64.19"/>
    <d v="2024-08-03T00:00:00"/>
    <n v="2024"/>
    <n v="8"/>
    <s v="2024-08"/>
  </r>
  <r>
    <n v="38"/>
    <s v="Emma White"/>
    <x v="3"/>
    <s v="Spain"/>
    <s v="Wireless Mouse"/>
    <x v="2"/>
    <n v="3"/>
    <n v="168.06"/>
    <n v="504.18"/>
    <d v="2024-07-13T00:00:00"/>
    <n v="2024"/>
    <n v="7"/>
    <s v="2024-07"/>
  </r>
  <r>
    <n v="39"/>
    <s v="John Martin"/>
    <x v="1"/>
    <s v="New Zealand"/>
    <s v="Yoga Mat"/>
    <x v="1"/>
    <n v="4"/>
    <n v="169.06"/>
    <n v="676.24"/>
    <d v="2024-07-06T00:00:00"/>
    <n v="2024"/>
    <n v="7"/>
    <s v="2024-07"/>
  </r>
  <r>
    <n v="40"/>
    <s v="James Martin"/>
    <x v="0"/>
    <s v="Mexico"/>
    <s v="Coffee Mug"/>
    <x v="4"/>
    <n v="4"/>
    <n v="18.2"/>
    <n v="72.8"/>
    <d v="2024-02-11T00:00:00"/>
    <n v="2024"/>
    <n v="2"/>
    <s v="2024-02"/>
  </r>
  <r>
    <n v="41"/>
    <s v="John Thompson"/>
    <x v="4"/>
    <s v="Argentina"/>
    <s v="Phone Case"/>
    <x v="3"/>
    <n v="3"/>
    <n v="100.86"/>
    <n v="302.58"/>
    <d v="2024-05-21T00:00:00"/>
    <n v="2024"/>
    <n v="5"/>
    <s v="2024-05"/>
  </r>
  <r>
    <n v="42"/>
    <s v="Amelia Taylor"/>
    <x v="2"/>
    <s v="South Korea"/>
    <s v="Yoga Mat"/>
    <x v="1"/>
    <n v="2"/>
    <n v="129"/>
    <n v="258"/>
    <d v="2024-04-01T00:00:00"/>
    <n v="2024"/>
    <n v="4"/>
    <s v="2024-04"/>
  </r>
  <r>
    <n v="43"/>
    <s v="John White"/>
    <x v="1"/>
    <s v="Australia"/>
    <s v="Notebook"/>
    <x v="5"/>
    <n v="5"/>
    <n v="106.77"/>
    <n v="533.85"/>
    <d v="2024-06-16T00:00:00"/>
    <n v="2024"/>
    <n v="6"/>
    <s v="2024-06"/>
  </r>
  <r>
    <n v="44"/>
    <s v="Isabella Smith"/>
    <x v="2"/>
    <s v="Japan"/>
    <s v="Water Bottle"/>
    <x v="1"/>
    <n v="1"/>
    <n v="123.87"/>
    <n v="123.87"/>
    <d v="2024-02-21T00:00:00"/>
    <n v="2024"/>
    <n v="2"/>
    <s v="2024-02"/>
  </r>
  <r>
    <n v="45"/>
    <s v="Liam Smith"/>
    <x v="0"/>
    <s v="Canada"/>
    <s v="Backpack"/>
    <x v="0"/>
    <n v="4"/>
    <n v="164.78"/>
    <n v="659.12"/>
    <d v="2024-03-03T00:00:00"/>
    <n v="2024"/>
    <n v="3"/>
    <s v="2024-03"/>
  </r>
  <r>
    <n v="46"/>
    <s v="Ava Taylor"/>
    <x v="0"/>
    <s v="Canada"/>
    <s v="Smartwatch"/>
    <x v="2"/>
    <n v="4"/>
    <n v="179.21"/>
    <n v="716.84"/>
    <d v="2024-06-25T00:00:00"/>
    <n v="2024"/>
    <n v="6"/>
    <s v="2024-06"/>
  </r>
  <r>
    <n v="47"/>
    <s v="Lucas Garcia"/>
    <x v="3"/>
    <s v="Spain"/>
    <s v="Coffee Mug"/>
    <x v="4"/>
    <n v="3"/>
    <n v="174.36"/>
    <n v="523.08000000000004"/>
    <d v="2024-02-08T00:00:00"/>
    <n v="2024"/>
    <n v="2"/>
    <s v="2024-02"/>
  </r>
  <r>
    <n v="48"/>
    <s v="John Anderson"/>
    <x v="4"/>
    <s v="Brazil"/>
    <s v="Notebook"/>
    <x v="5"/>
    <n v="1"/>
    <n v="28.33"/>
    <n v="28.33"/>
    <d v="2024-04-01T00:00:00"/>
    <n v="2024"/>
    <n v="4"/>
    <s v="2024-04"/>
  </r>
  <r>
    <n v="49"/>
    <s v="Mia Anderson"/>
    <x v="3"/>
    <s v="Germany"/>
    <s v="Water Bottle"/>
    <x v="1"/>
    <n v="4"/>
    <n v="101.78"/>
    <n v="407.12"/>
    <d v="2024-04-14T00:00:00"/>
    <n v="2024"/>
    <n v="4"/>
    <s v="2024-04"/>
  </r>
  <r>
    <n v="50"/>
    <s v="Noah White"/>
    <x v="0"/>
    <s v="Canada"/>
    <s v="Yoga Mat"/>
    <x v="1"/>
    <n v="3"/>
    <n v="85.17"/>
    <n v="255.51"/>
    <d v="2024-08-26T00:00:00"/>
    <n v="2024"/>
    <n v="8"/>
    <s v="2024-08"/>
  </r>
  <r>
    <n v="51"/>
    <s v="James Brown"/>
    <x v="1"/>
    <s v="Australia"/>
    <s v="Wireless Mouse"/>
    <x v="2"/>
    <n v="2"/>
    <n v="104.47"/>
    <n v="208.94"/>
    <d v="2024-04-11T00:00:00"/>
    <n v="2024"/>
    <n v="4"/>
    <s v="2024-04"/>
  </r>
  <r>
    <n v="52"/>
    <s v="Lucas Garcia"/>
    <x v="4"/>
    <s v="Brazil"/>
    <s v="Desk Lamp"/>
    <x v="4"/>
    <n v="5"/>
    <n v="49.44"/>
    <n v="247.2"/>
    <d v="2024-09-06T00:00:00"/>
    <n v="2024"/>
    <n v="9"/>
    <s v="2024-09"/>
  </r>
  <r>
    <n v="53"/>
    <s v="Olivia Johnson"/>
    <x v="4"/>
    <s v="Brazil"/>
    <s v="Coffee Mug"/>
    <x v="4"/>
    <n v="5"/>
    <n v="143.61000000000001"/>
    <n v="718.05"/>
    <d v="2024-03-27T00:00:00"/>
    <n v="2024"/>
    <n v="3"/>
    <s v="2024-03"/>
  </r>
  <r>
    <n v="54"/>
    <s v="James Martin"/>
    <x v="2"/>
    <s v="China"/>
    <s v="Yoga Mat"/>
    <x v="1"/>
    <n v="2"/>
    <n v="88.43"/>
    <n v="176.86"/>
    <d v="2024-10-09T00:00:00"/>
    <n v="2024"/>
    <n v="10"/>
    <s v="2024-10"/>
  </r>
  <r>
    <n v="55"/>
    <s v="Amelia Garcia"/>
    <x v="0"/>
    <s v="Canada"/>
    <s v="Coffee Mug"/>
    <x v="4"/>
    <n v="5"/>
    <n v="194.3"/>
    <n v="971.5"/>
    <d v="2024-05-13T00:00:00"/>
    <n v="2024"/>
    <n v="5"/>
    <s v="2024-05"/>
  </r>
  <r>
    <n v="56"/>
    <s v="Isabella Anderson"/>
    <x v="1"/>
    <s v="New Zealand"/>
    <s v="Water Bottle"/>
    <x v="1"/>
    <n v="4"/>
    <n v="66.459999999999994"/>
    <n v="265.83999999999997"/>
    <d v="2024-06-21T00:00:00"/>
    <n v="2024"/>
    <n v="6"/>
    <s v="2024-06"/>
  </r>
  <r>
    <n v="57"/>
    <s v="John Taylor"/>
    <x v="3"/>
    <s v="Poland"/>
    <s v="Backpack"/>
    <x v="0"/>
    <n v="4"/>
    <n v="126.1"/>
    <n v="504.4"/>
    <d v="2024-03-15T00:00:00"/>
    <n v="2024"/>
    <n v="3"/>
    <s v="2024-03"/>
  </r>
  <r>
    <n v="58"/>
    <s v="Ethan Garcia"/>
    <x v="1"/>
    <s v="New Zealand"/>
    <s v="Bluetooth Speaker"/>
    <x v="2"/>
    <n v="2"/>
    <n v="146.78"/>
    <n v="293.56"/>
    <d v="2024-10-27T00:00:00"/>
    <n v="2024"/>
    <n v="10"/>
    <s v="2024-10"/>
  </r>
  <r>
    <n v="59"/>
    <s v="Liam Smith"/>
    <x v="0"/>
    <s v="Canada"/>
    <s v="Phone Case"/>
    <x v="3"/>
    <n v="3"/>
    <n v="122.06"/>
    <n v="366.18"/>
    <d v="2024-03-27T00:00:00"/>
    <n v="2024"/>
    <n v="3"/>
    <s v="2024-03"/>
  </r>
  <r>
    <n v="60"/>
    <s v="Harper Garcia"/>
    <x v="1"/>
    <s v="New Zealand"/>
    <s v="Notebook"/>
    <x v="5"/>
    <n v="2"/>
    <n v="197.16"/>
    <n v="394.32"/>
    <d v="2024-04-02T00:00:00"/>
    <n v="2024"/>
    <n v="4"/>
    <s v="2024-04"/>
  </r>
  <r>
    <n v="61"/>
    <s v="Amelia Johnson"/>
    <x v="1"/>
    <s v="New Zealand"/>
    <s v="Yoga Mat"/>
    <x v="1"/>
    <n v="2"/>
    <n v="173.87"/>
    <n v="347.74"/>
    <d v="2024-09-02T00:00:00"/>
    <n v="2024"/>
    <n v="9"/>
    <s v="2024-09"/>
  </r>
  <r>
    <n v="62"/>
    <s v="Isabella White"/>
    <x v="1"/>
    <s v="Australia"/>
    <s v="Yoga Mat"/>
    <x v="1"/>
    <n v="5"/>
    <n v="158.94"/>
    <n v="794.7"/>
    <d v="2024-07-10T00:00:00"/>
    <n v="2024"/>
    <n v="7"/>
    <s v="2024-07"/>
  </r>
  <r>
    <n v="63"/>
    <s v="Benjamin Harris"/>
    <x v="3"/>
    <s v="Germany"/>
    <s v="Water Bottle"/>
    <x v="1"/>
    <n v="2"/>
    <n v="189.21"/>
    <n v="378.42"/>
    <d v="2024-08-14T00:00:00"/>
    <n v="2024"/>
    <n v="8"/>
    <s v="2024-08"/>
  </r>
  <r>
    <n v="64"/>
    <s v="Ethan Harris"/>
    <x v="1"/>
    <s v="New Zealand"/>
    <s v="Notebook"/>
    <x v="5"/>
    <n v="4"/>
    <n v="169.46"/>
    <n v="677.84"/>
    <d v="2024-07-08T00:00:00"/>
    <n v="2024"/>
    <n v="7"/>
    <s v="2024-07"/>
  </r>
  <r>
    <n v="65"/>
    <s v="Ethan Brown"/>
    <x v="4"/>
    <s v="Chile"/>
    <s v="Coffee Mug"/>
    <x v="4"/>
    <n v="1"/>
    <n v="137.55000000000001"/>
    <n v="137.55000000000001"/>
    <d v="2024-10-04T00:00:00"/>
    <n v="2024"/>
    <n v="10"/>
    <s v="2024-10"/>
  </r>
  <r>
    <n v="66"/>
    <s v="Benjamin Thompson"/>
    <x v="3"/>
    <s v="Germany"/>
    <s v="Bluetooth Speaker"/>
    <x v="2"/>
    <n v="3"/>
    <n v="127.15"/>
    <n v="381.45"/>
    <d v="2024-01-16T00:00:00"/>
    <n v="2024"/>
    <n v="1"/>
    <s v="2024-01"/>
  </r>
  <r>
    <n v="67"/>
    <s v="Mia Thompson"/>
    <x v="2"/>
    <s v="India"/>
    <s v="Yoga Mat"/>
    <x v="1"/>
    <n v="5"/>
    <n v="56.1"/>
    <n v="280.5"/>
    <d v="2024-10-26T00:00:00"/>
    <n v="2024"/>
    <n v="10"/>
    <s v="2024-10"/>
  </r>
  <r>
    <n v="68"/>
    <s v="Mia Thompson"/>
    <x v="3"/>
    <s v="France"/>
    <s v="Water Bottle"/>
    <x v="1"/>
    <n v="3"/>
    <n v="17.239999999999998"/>
    <n v="51.72"/>
    <d v="2024-05-29T00:00:00"/>
    <n v="2024"/>
    <n v="5"/>
    <s v="2024-05"/>
  </r>
  <r>
    <n v="69"/>
    <s v="Liam Thompson"/>
    <x v="2"/>
    <s v="China"/>
    <s v="Desk Lamp"/>
    <x v="4"/>
    <n v="4"/>
    <n v="31.34"/>
    <n v="125.36"/>
    <d v="2024-10-20T00:00:00"/>
    <n v="2024"/>
    <n v="10"/>
    <s v="2024-10"/>
  </r>
  <r>
    <n v="70"/>
    <s v="Benjamin Thompson"/>
    <x v="3"/>
    <s v="Germany"/>
    <s v="Notebook"/>
    <x v="5"/>
    <n v="3"/>
    <n v="192.22"/>
    <n v="576.66"/>
    <d v="2024-04-05T00:00:00"/>
    <n v="2024"/>
    <n v="4"/>
    <s v="2024-04"/>
  </r>
  <r>
    <n v="71"/>
    <s v="James Garcia"/>
    <x v="3"/>
    <s v="Italy"/>
    <s v="Backpack"/>
    <x v="0"/>
    <n v="2"/>
    <n v="45.29"/>
    <n v="90.58"/>
    <d v="2024-02-05T00:00:00"/>
    <n v="2024"/>
    <n v="2"/>
    <s v="2024-02"/>
  </r>
  <r>
    <n v="72"/>
    <s v="Olivia Thompson"/>
    <x v="3"/>
    <s v="Germany"/>
    <s v="Smartwatch"/>
    <x v="2"/>
    <n v="4"/>
    <n v="84.62"/>
    <n v="338.48"/>
    <d v="2024-04-22T00:00:00"/>
    <n v="2024"/>
    <n v="4"/>
    <s v="2024-04"/>
  </r>
  <r>
    <n v="73"/>
    <s v="John Harris"/>
    <x v="3"/>
    <s v="France"/>
    <s v="Phone Case"/>
    <x v="3"/>
    <n v="5"/>
    <n v="39.9"/>
    <n v="199.5"/>
    <d v="2024-02-07T00:00:00"/>
    <n v="2024"/>
    <n v="2"/>
    <s v="2024-02"/>
  </r>
  <r>
    <n v="74"/>
    <s v="Charlotte Harris"/>
    <x v="4"/>
    <s v="Brazil"/>
    <s v="Wireless Mouse"/>
    <x v="2"/>
    <n v="3"/>
    <n v="145.62"/>
    <n v="436.86"/>
    <d v="2024-04-01T00:00:00"/>
    <n v="2024"/>
    <n v="4"/>
    <s v="2024-04"/>
  </r>
  <r>
    <n v="75"/>
    <s v="Ava Harris"/>
    <x v="3"/>
    <s v="Germany"/>
    <s v="Water Bottle"/>
    <x v="1"/>
    <n v="1"/>
    <n v="72.14"/>
    <n v="72.14"/>
    <d v="2024-04-16T00:00:00"/>
    <n v="2024"/>
    <n v="4"/>
    <s v="2024-04"/>
  </r>
  <r>
    <n v="76"/>
    <s v="Mason Brown"/>
    <x v="4"/>
    <s v="Brazil"/>
    <s v="Notebook"/>
    <x v="5"/>
    <n v="4"/>
    <n v="188"/>
    <n v="752"/>
    <d v="2024-03-18T00:00:00"/>
    <n v="2024"/>
    <n v="3"/>
    <s v="2024-03"/>
  </r>
  <r>
    <n v="77"/>
    <s v="Benjamin Brown"/>
    <x v="0"/>
    <s v="Mexico"/>
    <s v="Water Bottle"/>
    <x v="1"/>
    <n v="2"/>
    <n v="14.36"/>
    <n v="28.72"/>
    <d v="2024-01-30T00:00:00"/>
    <n v="2024"/>
    <n v="1"/>
    <s v="2024-01"/>
  </r>
  <r>
    <n v="78"/>
    <s v="Harper Thompson"/>
    <x v="0"/>
    <s v="USA"/>
    <s v="Yoga Mat"/>
    <x v="1"/>
    <n v="3"/>
    <n v="53.11"/>
    <n v="159.33000000000001"/>
    <d v="2024-01-02T00:00:00"/>
    <n v="2024"/>
    <n v="1"/>
    <s v="2024-01"/>
  </r>
  <r>
    <n v="79"/>
    <s v="Ethan Smith"/>
    <x v="0"/>
    <s v="Mexico"/>
    <s v="Water Bottle"/>
    <x v="1"/>
    <n v="2"/>
    <n v="152.86000000000001"/>
    <n v="305.72000000000003"/>
    <d v="2024-07-21T00:00:00"/>
    <n v="2024"/>
    <n v="7"/>
    <s v="2024-07"/>
  </r>
  <r>
    <n v="80"/>
    <s v="Mason Garcia"/>
    <x v="3"/>
    <s v="Italy"/>
    <s v="Backpack"/>
    <x v="0"/>
    <n v="2"/>
    <n v="109.24"/>
    <n v="218.48"/>
    <d v="2024-07-15T00:00:00"/>
    <n v="2024"/>
    <n v="7"/>
    <s v="2024-07"/>
  </r>
  <r>
    <n v="81"/>
    <s v="Jacob Johnson"/>
    <x v="1"/>
    <s v="New Zealand"/>
    <s v="Desk Lamp"/>
    <x v="4"/>
    <n v="5"/>
    <n v="175.63"/>
    <n v="878.15"/>
    <d v="2024-06-21T00:00:00"/>
    <n v="2024"/>
    <n v="6"/>
    <s v="2024-06"/>
  </r>
  <r>
    <n v="82"/>
    <s v="Jacob Harris"/>
    <x v="0"/>
    <s v="USA"/>
    <s v="Notebook"/>
    <x v="5"/>
    <n v="3"/>
    <n v="36.75"/>
    <n v="110.25"/>
    <d v="2024-04-10T00:00:00"/>
    <n v="2024"/>
    <n v="4"/>
    <s v="2024-04"/>
  </r>
  <r>
    <n v="83"/>
    <s v="Mia White"/>
    <x v="3"/>
    <s v="Spain"/>
    <s v="Backpack"/>
    <x v="0"/>
    <n v="4"/>
    <n v="10.11"/>
    <n v="40.44"/>
    <d v="2024-08-17T00:00:00"/>
    <n v="2024"/>
    <n v="8"/>
    <s v="2024-08"/>
  </r>
  <r>
    <n v="84"/>
    <s v="Mason Brown"/>
    <x v="2"/>
    <s v="China"/>
    <s v="Backpack"/>
    <x v="0"/>
    <n v="5"/>
    <n v="170.4"/>
    <n v="852"/>
    <d v="2024-03-04T00:00:00"/>
    <n v="2024"/>
    <n v="3"/>
    <s v="2024-03"/>
  </r>
  <r>
    <n v="85"/>
    <s v="Olivia White"/>
    <x v="4"/>
    <s v="Brazil"/>
    <s v="Coffee Mug"/>
    <x v="4"/>
    <n v="5"/>
    <n v="178.91"/>
    <n v="894.55"/>
    <d v="2024-09-15T00:00:00"/>
    <n v="2024"/>
    <n v="9"/>
    <s v="2024-09"/>
  </r>
  <r>
    <n v="86"/>
    <s v="John Johnson"/>
    <x v="2"/>
    <s v="China"/>
    <s v="Notebook"/>
    <x v="5"/>
    <n v="1"/>
    <n v="75.39"/>
    <n v="75.39"/>
    <d v="2024-04-30T00:00:00"/>
    <n v="2024"/>
    <n v="4"/>
    <s v="2024-04"/>
  </r>
  <r>
    <n v="87"/>
    <s v="Emma Thompson"/>
    <x v="3"/>
    <s v="Germany"/>
    <s v="Phone Case"/>
    <x v="3"/>
    <n v="1"/>
    <n v="196.71"/>
    <n v="196.71"/>
    <d v="2024-03-21T00:00:00"/>
    <n v="2024"/>
    <n v="3"/>
    <s v="2024-03"/>
  </r>
  <r>
    <n v="88"/>
    <s v="Charlotte Taylor"/>
    <x v="1"/>
    <s v="New Zealand"/>
    <s v="Coffee Mug"/>
    <x v="4"/>
    <n v="4"/>
    <n v="195.23"/>
    <n v="780.92"/>
    <d v="2024-05-18T00:00:00"/>
    <n v="2024"/>
    <n v="5"/>
    <s v="2024-05"/>
  </r>
  <r>
    <n v="89"/>
    <s v="Isabella Smith"/>
    <x v="3"/>
    <s v="Germany"/>
    <s v="Water Bottle"/>
    <x v="1"/>
    <n v="5"/>
    <n v="123.78"/>
    <n v="618.9"/>
    <d v="2024-01-28T00:00:00"/>
    <n v="2024"/>
    <n v="1"/>
    <s v="2024-01"/>
  </r>
  <r>
    <n v="90"/>
    <s v="Olivia Brown"/>
    <x v="1"/>
    <s v="New Zealand"/>
    <s v="Coffee Mug"/>
    <x v="4"/>
    <n v="1"/>
    <n v="149.19999999999999"/>
    <n v="149.19999999999999"/>
    <d v="2024-05-19T00:00:00"/>
    <n v="2024"/>
    <n v="5"/>
    <s v="2024-05"/>
  </r>
  <r>
    <n v="91"/>
    <s v="Ava Garcia"/>
    <x v="3"/>
    <s v="Italy"/>
    <s v="Water Bottle"/>
    <x v="1"/>
    <n v="1"/>
    <n v="158.02000000000001"/>
    <n v="158.02000000000001"/>
    <d v="2024-04-20T00:00:00"/>
    <n v="2024"/>
    <n v="4"/>
    <s v="2024-04"/>
  </r>
  <r>
    <n v="92"/>
    <s v="Isabella Martin"/>
    <x v="2"/>
    <s v="Japan"/>
    <s v="Phone Case"/>
    <x v="3"/>
    <n v="5"/>
    <n v="101.81"/>
    <n v="509.05"/>
    <d v="2024-04-13T00:00:00"/>
    <n v="2024"/>
    <n v="4"/>
    <s v="2024-04"/>
  </r>
  <r>
    <n v="93"/>
    <s v="Sophia Smith"/>
    <x v="3"/>
    <s v="France"/>
    <s v="Coffee Mug"/>
    <x v="4"/>
    <n v="3"/>
    <n v="39.35"/>
    <n v="118.05"/>
    <d v="2024-10-17T00:00:00"/>
    <n v="2024"/>
    <n v="10"/>
    <s v="2024-10"/>
  </r>
  <r>
    <n v="94"/>
    <s v="Charlotte Brown"/>
    <x v="0"/>
    <s v="Mexico"/>
    <s v="Bluetooth Speaker"/>
    <x v="2"/>
    <n v="4"/>
    <n v="126.71"/>
    <n v="506.84"/>
    <d v="2024-02-29T00:00:00"/>
    <n v="2024"/>
    <n v="2"/>
    <s v="2024-02"/>
  </r>
  <r>
    <n v="95"/>
    <s v="Mia Smith"/>
    <x v="2"/>
    <s v="Japan"/>
    <s v="Smartwatch"/>
    <x v="2"/>
    <n v="2"/>
    <n v="82.1"/>
    <n v="164.2"/>
    <d v="2024-07-24T00:00:00"/>
    <n v="2024"/>
    <n v="7"/>
    <s v="2024-07"/>
  </r>
  <r>
    <n v="96"/>
    <s v="Charlotte Anderson"/>
    <x v="3"/>
    <s v="Spain"/>
    <s v="Notebook"/>
    <x v="5"/>
    <n v="4"/>
    <n v="118.23"/>
    <n v="472.92"/>
    <d v="2024-02-05T00:00:00"/>
    <n v="2024"/>
    <n v="2"/>
    <s v="2024-02"/>
  </r>
  <r>
    <n v="97"/>
    <s v="Jacob Taylor"/>
    <x v="4"/>
    <s v="Chile"/>
    <s v="Smartwatch"/>
    <x v="2"/>
    <n v="3"/>
    <n v="175.11"/>
    <n v="525.33000000000004"/>
    <d v="2024-03-25T00:00:00"/>
    <n v="2024"/>
    <n v="3"/>
    <s v="2024-03"/>
  </r>
  <r>
    <n v="98"/>
    <s v="Mason Brown"/>
    <x v="1"/>
    <s v="New Zealand"/>
    <s v="Wireless Mouse"/>
    <x v="2"/>
    <n v="5"/>
    <n v="177.81"/>
    <n v="889.05"/>
    <d v="2024-08-01T00:00:00"/>
    <n v="2024"/>
    <n v="8"/>
    <s v="2024-08"/>
  </r>
  <r>
    <n v="99"/>
    <s v="Ethan Harris"/>
    <x v="0"/>
    <s v="USA"/>
    <s v="Desk Lamp"/>
    <x v="4"/>
    <n v="4"/>
    <n v="190.28"/>
    <n v="761.12"/>
    <d v="2024-03-23T00:00:00"/>
    <n v="2024"/>
    <n v="3"/>
    <s v="2024-03"/>
  </r>
  <r>
    <n v="100"/>
    <s v="John White"/>
    <x v="1"/>
    <s v="New Zealand"/>
    <s v="Backpack"/>
    <x v="0"/>
    <n v="4"/>
    <n v="19.45"/>
    <n v="77.8"/>
    <d v="2024-02-07T00:00:00"/>
    <n v="2024"/>
    <n v="2"/>
    <s v="2024-02"/>
  </r>
  <r>
    <n v="101"/>
    <s v="James Anderson"/>
    <x v="3"/>
    <s v="Germany"/>
    <s v="Bluetooth Speaker"/>
    <x v="2"/>
    <n v="3"/>
    <n v="14.84"/>
    <n v="44.52"/>
    <d v="2024-08-27T00:00:00"/>
    <n v="2024"/>
    <n v="8"/>
    <s v="2024-08"/>
  </r>
  <r>
    <n v="102"/>
    <s v="James Johnson"/>
    <x v="2"/>
    <s v="China"/>
    <s v="Wireless Mouse"/>
    <x v="2"/>
    <n v="1"/>
    <n v="83.09"/>
    <n v="83.09"/>
    <d v="2024-02-12T00:00:00"/>
    <n v="2024"/>
    <n v="2"/>
    <s v="2024-02"/>
  </r>
  <r>
    <n v="103"/>
    <s v="Harper Martin"/>
    <x v="4"/>
    <s v="Argentina"/>
    <s v="Phone Case"/>
    <x v="3"/>
    <n v="4"/>
    <n v="81.2"/>
    <n v="324.8"/>
    <d v="2024-05-19T00:00:00"/>
    <n v="2024"/>
    <n v="5"/>
    <s v="2024-05"/>
  </r>
  <r>
    <n v="104"/>
    <s v="John Taylor"/>
    <x v="0"/>
    <s v="Mexico"/>
    <s v="Notebook"/>
    <x v="5"/>
    <n v="1"/>
    <n v="187.85"/>
    <n v="187.85"/>
    <d v="2024-04-17T00:00:00"/>
    <n v="2024"/>
    <n v="4"/>
    <s v="2024-04"/>
  </r>
  <r>
    <n v="105"/>
    <s v="Charlotte Taylor"/>
    <x v="3"/>
    <s v="Germany"/>
    <s v="Wireless Mouse"/>
    <x v="2"/>
    <n v="2"/>
    <n v="46.97"/>
    <n v="93.94"/>
    <d v="2024-05-10T00:00:00"/>
    <n v="2024"/>
    <n v="5"/>
    <s v="2024-05"/>
  </r>
  <r>
    <n v="106"/>
    <s v="Isabella Martin"/>
    <x v="0"/>
    <s v="Canada"/>
    <s v="Desk Lamp"/>
    <x v="4"/>
    <n v="1"/>
    <n v="27.68"/>
    <n v="27.68"/>
    <d v="2024-06-06T00:00:00"/>
    <n v="2024"/>
    <n v="6"/>
    <s v="2024-06"/>
  </r>
  <r>
    <n v="107"/>
    <s v="Mia Johnson"/>
    <x v="4"/>
    <s v="Chile"/>
    <s v="Wireless Mouse"/>
    <x v="2"/>
    <n v="2"/>
    <n v="162.06"/>
    <n v="324.12"/>
    <d v="2024-03-06T00:00:00"/>
    <n v="2024"/>
    <n v="3"/>
    <s v="2024-03"/>
  </r>
  <r>
    <n v="108"/>
    <s v="Lucas Martin"/>
    <x v="3"/>
    <s v="Italy"/>
    <s v="Backpack"/>
    <x v="0"/>
    <n v="1"/>
    <n v="89.7"/>
    <n v="89.7"/>
    <d v="2024-01-29T00:00:00"/>
    <n v="2024"/>
    <n v="1"/>
    <s v="2024-01"/>
  </r>
  <r>
    <n v="109"/>
    <s v="Charlotte Taylor"/>
    <x v="3"/>
    <s v="Italy"/>
    <s v="Water Bottle"/>
    <x v="1"/>
    <n v="5"/>
    <n v="81.13"/>
    <n v="405.65"/>
    <d v="2024-08-16T00:00:00"/>
    <n v="2024"/>
    <n v="8"/>
    <s v="2024-08"/>
  </r>
  <r>
    <n v="110"/>
    <s v="Mia Brown"/>
    <x v="3"/>
    <s v="Poland"/>
    <s v="Coffee Mug"/>
    <x v="4"/>
    <n v="3"/>
    <n v="67.61"/>
    <n v="202.83"/>
    <d v="2024-05-06T00:00:00"/>
    <n v="2024"/>
    <n v="5"/>
    <s v="2024-05"/>
  </r>
  <r>
    <n v="111"/>
    <s v="Amelia Smith"/>
    <x v="4"/>
    <s v="Chile"/>
    <s v="Backpack"/>
    <x v="0"/>
    <n v="2"/>
    <n v="97.54"/>
    <n v="195.08"/>
    <d v="2024-09-08T00:00:00"/>
    <n v="2024"/>
    <n v="9"/>
    <s v="2024-09"/>
  </r>
  <r>
    <n v="112"/>
    <s v="Liam Thompson"/>
    <x v="2"/>
    <s v="Japan"/>
    <s v="Backpack"/>
    <x v="0"/>
    <n v="3"/>
    <n v="135.59"/>
    <n v="406.77"/>
    <d v="2024-04-24T00:00:00"/>
    <n v="2024"/>
    <n v="4"/>
    <s v="2024-04"/>
  </r>
  <r>
    <n v="113"/>
    <s v="Sophia Garcia"/>
    <x v="3"/>
    <s v="France"/>
    <s v="Smartwatch"/>
    <x v="2"/>
    <n v="5"/>
    <n v="181.25"/>
    <n v="906.25"/>
    <d v="2024-06-20T00:00:00"/>
    <n v="2024"/>
    <n v="6"/>
    <s v="2024-06"/>
  </r>
  <r>
    <n v="114"/>
    <s v="Noah Thompson"/>
    <x v="0"/>
    <s v="Canada"/>
    <s v="Bluetooth Speaker"/>
    <x v="2"/>
    <n v="3"/>
    <n v="185.14"/>
    <n v="555.41999999999996"/>
    <d v="2024-06-19T00:00:00"/>
    <n v="2024"/>
    <n v="6"/>
    <s v="2024-06"/>
  </r>
  <r>
    <n v="115"/>
    <s v="Isabella Thompson"/>
    <x v="4"/>
    <s v="Chile"/>
    <s v="Bluetooth Speaker"/>
    <x v="2"/>
    <n v="2"/>
    <n v="187.45"/>
    <n v="374.9"/>
    <d v="2024-01-31T00:00:00"/>
    <n v="2024"/>
    <n v="1"/>
    <s v="2024-01"/>
  </r>
  <r>
    <n v="116"/>
    <s v="Benjamin Harris"/>
    <x v="4"/>
    <s v="Brazil"/>
    <s v="Coffee Mug"/>
    <x v="4"/>
    <n v="2"/>
    <n v="91.64"/>
    <n v="183.28"/>
    <d v="2024-06-20T00:00:00"/>
    <n v="2024"/>
    <n v="6"/>
    <s v="2024-06"/>
  </r>
  <r>
    <n v="117"/>
    <s v="Isabella Johnson"/>
    <x v="4"/>
    <s v="Brazil"/>
    <s v="Yoga Mat"/>
    <x v="1"/>
    <n v="5"/>
    <n v="83.76"/>
    <n v="418.8"/>
    <d v="2024-05-03T00:00:00"/>
    <n v="2024"/>
    <n v="5"/>
    <s v="2024-05"/>
  </r>
  <r>
    <n v="118"/>
    <s v="Ava Brown"/>
    <x v="0"/>
    <s v="Canada"/>
    <s v="Coffee Mug"/>
    <x v="4"/>
    <n v="2"/>
    <n v="194.61"/>
    <n v="389.22"/>
    <d v="2024-10-15T00:00:00"/>
    <n v="2024"/>
    <n v="10"/>
    <s v="2024-10"/>
  </r>
  <r>
    <n v="119"/>
    <s v="Olivia Anderson"/>
    <x v="2"/>
    <s v="India"/>
    <s v="Phone Case"/>
    <x v="3"/>
    <n v="1"/>
    <n v="99.57"/>
    <n v="99.57"/>
    <d v="2024-07-04T00:00:00"/>
    <n v="2024"/>
    <n v="7"/>
    <s v="2024-07"/>
  </r>
  <r>
    <n v="120"/>
    <s v="Jacob White"/>
    <x v="3"/>
    <s v="France"/>
    <s v="Water Bottle"/>
    <x v="1"/>
    <n v="5"/>
    <n v="60.81"/>
    <n v="304.05"/>
    <d v="2024-07-06T00:00:00"/>
    <n v="2024"/>
    <n v="7"/>
    <s v="2024-07"/>
  </r>
  <r>
    <n v="121"/>
    <s v="Benjamin Brown"/>
    <x v="2"/>
    <s v="Japan"/>
    <s v="Coffee Mug"/>
    <x v="4"/>
    <n v="2"/>
    <n v="37.65"/>
    <n v="75.3"/>
    <d v="2024-10-22T00:00:00"/>
    <n v="2024"/>
    <n v="10"/>
    <s v="2024-10"/>
  </r>
  <r>
    <n v="122"/>
    <s v="Emma Johnson"/>
    <x v="1"/>
    <s v="New Zealand"/>
    <s v="Bluetooth Speaker"/>
    <x v="2"/>
    <n v="3"/>
    <n v="142.47"/>
    <n v="427.41"/>
    <d v="2024-07-15T00:00:00"/>
    <n v="2024"/>
    <n v="7"/>
    <s v="2024-07"/>
  </r>
  <r>
    <n v="123"/>
    <s v="Ethan Taylor"/>
    <x v="4"/>
    <s v="Argentina"/>
    <s v="Notebook"/>
    <x v="5"/>
    <n v="2"/>
    <n v="192.92"/>
    <n v="385.84"/>
    <d v="2024-10-19T00:00:00"/>
    <n v="2024"/>
    <n v="10"/>
    <s v="2024-10"/>
  </r>
  <r>
    <n v="124"/>
    <s v="Mason Garcia"/>
    <x v="3"/>
    <s v="Poland"/>
    <s v="Smartwatch"/>
    <x v="2"/>
    <n v="3"/>
    <n v="64.62"/>
    <n v="193.86"/>
    <d v="2024-09-18T00:00:00"/>
    <n v="2024"/>
    <n v="9"/>
    <s v="2024-09"/>
  </r>
  <r>
    <n v="125"/>
    <s v="Olivia Harris"/>
    <x v="2"/>
    <s v="India"/>
    <s v="Coffee Mug"/>
    <x v="4"/>
    <n v="3"/>
    <n v="144.09"/>
    <n v="432.27"/>
    <d v="2024-01-31T00:00:00"/>
    <n v="2024"/>
    <n v="1"/>
    <s v="2024-01"/>
  </r>
  <r>
    <n v="126"/>
    <s v="Charlotte White"/>
    <x v="1"/>
    <s v="New Zealand"/>
    <s v="Bluetooth Speaker"/>
    <x v="2"/>
    <n v="4"/>
    <n v="158.29"/>
    <n v="633.16"/>
    <d v="2024-04-10T00:00:00"/>
    <n v="2024"/>
    <n v="4"/>
    <s v="2024-04"/>
  </r>
  <r>
    <n v="127"/>
    <s v="Mia Thompson"/>
    <x v="3"/>
    <s v="Poland"/>
    <s v="Water Bottle"/>
    <x v="1"/>
    <n v="2"/>
    <n v="79.69"/>
    <n v="159.38"/>
    <d v="2024-01-05T00:00:00"/>
    <n v="2024"/>
    <n v="1"/>
    <s v="2024-01"/>
  </r>
  <r>
    <n v="128"/>
    <s v="John Martin"/>
    <x v="1"/>
    <s v="Australia"/>
    <s v="Notebook"/>
    <x v="5"/>
    <n v="1"/>
    <n v="62.04"/>
    <n v="62.04"/>
    <d v="2024-07-08T00:00:00"/>
    <n v="2024"/>
    <n v="7"/>
    <s v="2024-07"/>
  </r>
  <r>
    <n v="129"/>
    <s v="Harper Smith"/>
    <x v="0"/>
    <s v="Canada"/>
    <s v="Wireless Mouse"/>
    <x v="2"/>
    <n v="2"/>
    <n v="147.65"/>
    <n v="295.3"/>
    <d v="2024-04-13T00:00:00"/>
    <n v="2024"/>
    <n v="4"/>
    <s v="2024-04"/>
  </r>
  <r>
    <n v="130"/>
    <s v="Mason Smith"/>
    <x v="3"/>
    <s v="Spain"/>
    <s v="Water Bottle"/>
    <x v="1"/>
    <n v="1"/>
    <n v="10.56"/>
    <n v="10.56"/>
    <d v="2024-02-20T00:00:00"/>
    <n v="2024"/>
    <n v="2"/>
    <s v="2024-02"/>
  </r>
  <r>
    <n v="131"/>
    <s v="Sophia Johnson"/>
    <x v="4"/>
    <s v="Chile"/>
    <s v="Backpack"/>
    <x v="0"/>
    <n v="3"/>
    <n v="74.709999999999994"/>
    <n v="224.13"/>
    <d v="2024-08-09T00:00:00"/>
    <n v="2024"/>
    <n v="8"/>
    <s v="2024-08"/>
  </r>
  <r>
    <n v="132"/>
    <s v="Amelia Martin"/>
    <x v="1"/>
    <s v="New Zealand"/>
    <s v="Smartwatch"/>
    <x v="2"/>
    <n v="5"/>
    <n v="34.19"/>
    <n v="170.95"/>
    <d v="2024-10-25T00:00:00"/>
    <n v="2024"/>
    <n v="10"/>
    <s v="2024-10"/>
  </r>
  <r>
    <n v="133"/>
    <s v="Noah Harris"/>
    <x v="0"/>
    <s v="Mexico"/>
    <s v="Notebook"/>
    <x v="5"/>
    <n v="1"/>
    <n v="146.46"/>
    <n v="146.46"/>
    <d v="2024-01-02T00:00:00"/>
    <n v="2024"/>
    <n v="1"/>
    <s v="2024-01"/>
  </r>
  <r>
    <n v="134"/>
    <s v="James Garcia"/>
    <x v="2"/>
    <s v="India"/>
    <s v="Water Bottle"/>
    <x v="1"/>
    <n v="1"/>
    <n v="191.81"/>
    <n v="191.81"/>
    <d v="2024-04-04T00:00:00"/>
    <n v="2024"/>
    <n v="4"/>
    <s v="2024-04"/>
  </r>
  <r>
    <n v="135"/>
    <s v="Emma Brown"/>
    <x v="0"/>
    <s v="Canada"/>
    <s v="Water Bottle"/>
    <x v="1"/>
    <n v="3"/>
    <n v="24.01"/>
    <n v="72.03"/>
    <d v="2024-07-18T00:00:00"/>
    <n v="2024"/>
    <n v="7"/>
    <s v="2024-07"/>
  </r>
  <r>
    <n v="136"/>
    <s v="Liam Smith"/>
    <x v="1"/>
    <s v="Australia"/>
    <s v="Yoga Mat"/>
    <x v="1"/>
    <n v="5"/>
    <n v="62.2"/>
    <n v="311"/>
    <d v="2024-01-04T00:00:00"/>
    <n v="2024"/>
    <n v="1"/>
    <s v="2024-01"/>
  </r>
  <r>
    <n v="137"/>
    <s v="Sophia Martin"/>
    <x v="2"/>
    <s v="Japan"/>
    <s v="Phone Case"/>
    <x v="3"/>
    <n v="1"/>
    <n v="181.69"/>
    <n v="181.69"/>
    <d v="2024-01-31T00:00:00"/>
    <n v="2024"/>
    <n v="1"/>
    <s v="2024-01"/>
  </r>
  <r>
    <n v="138"/>
    <s v="Liam Thompson"/>
    <x v="3"/>
    <s v="Italy"/>
    <s v="Desk Lamp"/>
    <x v="4"/>
    <n v="3"/>
    <n v="153.76"/>
    <n v="461.28"/>
    <d v="2024-03-09T00:00:00"/>
    <n v="2024"/>
    <n v="3"/>
    <s v="2024-03"/>
  </r>
  <r>
    <n v="139"/>
    <s v="Olivia Martin"/>
    <x v="3"/>
    <s v="Spain"/>
    <s v="Bluetooth Speaker"/>
    <x v="2"/>
    <n v="5"/>
    <n v="37.43"/>
    <n v="187.15"/>
    <d v="2024-06-05T00:00:00"/>
    <n v="2024"/>
    <n v="6"/>
    <s v="2024-06"/>
  </r>
  <r>
    <n v="140"/>
    <s v="Jacob Johnson"/>
    <x v="4"/>
    <s v="Brazil"/>
    <s v="Water Bottle"/>
    <x v="1"/>
    <n v="4"/>
    <n v="154.69999999999999"/>
    <n v="618.79999999999995"/>
    <d v="2024-06-12T00:00:00"/>
    <n v="2024"/>
    <n v="6"/>
    <s v="2024-06"/>
  </r>
  <r>
    <n v="141"/>
    <s v="Lucas Martin"/>
    <x v="3"/>
    <s v="Italy"/>
    <s v="Yoga Mat"/>
    <x v="1"/>
    <n v="2"/>
    <n v="167.24"/>
    <n v="334.48"/>
    <d v="2024-02-03T00:00:00"/>
    <n v="2024"/>
    <n v="2"/>
    <s v="2024-02"/>
  </r>
  <r>
    <n v="142"/>
    <s v="Charlotte Harris"/>
    <x v="0"/>
    <s v="USA"/>
    <s v="Yoga Mat"/>
    <x v="1"/>
    <n v="2"/>
    <n v="43.17"/>
    <n v="86.34"/>
    <d v="2024-09-23T00:00:00"/>
    <n v="2024"/>
    <n v="9"/>
    <s v="2024-09"/>
  </r>
  <r>
    <n v="143"/>
    <s v="Jacob Brown"/>
    <x v="1"/>
    <s v="New Zealand"/>
    <s v="Notebook"/>
    <x v="5"/>
    <n v="2"/>
    <n v="124.83"/>
    <n v="249.66"/>
    <d v="2024-04-07T00:00:00"/>
    <n v="2024"/>
    <n v="4"/>
    <s v="2024-04"/>
  </r>
  <r>
    <n v="144"/>
    <s v="Noah Taylor"/>
    <x v="2"/>
    <s v="India"/>
    <s v="Coffee Mug"/>
    <x v="4"/>
    <n v="4"/>
    <n v="127.02"/>
    <n v="508.08"/>
    <d v="2024-04-06T00:00:00"/>
    <n v="2024"/>
    <n v="4"/>
    <s v="2024-04"/>
  </r>
  <r>
    <n v="145"/>
    <s v="Benjamin Anderson"/>
    <x v="2"/>
    <s v="China"/>
    <s v="Yoga Mat"/>
    <x v="1"/>
    <n v="2"/>
    <n v="13.88"/>
    <n v="27.76"/>
    <d v="2024-02-09T00:00:00"/>
    <n v="2024"/>
    <n v="2"/>
    <s v="2024-02"/>
  </r>
  <r>
    <n v="146"/>
    <s v="Mia Anderson"/>
    <x v="1"/>
    <s v="New Zealand"/>
    <s v="Phone Case"/>
    <x v="3"/>
    <n v="5"/>
    <n v="138.19"/>
    <n v="690.95"/>
    <d v="2024-08-20T00:00:00"/>
    <n v="2024"/>
    <n v="8"/>
    <s v="2024-08"/>
  </r>
  <r>
    <n v="147"/>
    <s v="Isabella White"/>
    <x v="0"/>
    <s v="Mexico"/>
    <s v="Bluetooth Speaker"/>
    <x v="2"/>
    <n v="4"/>
    <n v="22.58"/>
    <n v="90.32"/>
    <d v="2024-06-18T00:00:00"/>
    <n v="2024"/>
    <n v="6"/>
    <s v="2024-06"/>
  </r>
  <r>
    <n v="148"/>
    <s v="Mason Smith"/>
    <x v="4"/>
    <s v="Argentina"/>
    <s v="Backpack"/>
    <x v="0"/>
    <n v="2"/>
    <n v="170.9"/>
    <n v="341.8"/>
    <d v="2024-05-28T00:00:00"/>
    <n v="2024"/>
    <n v="5"/>
    <s v="2024-05"/>
  </r>
  <r>
    <n v="149"/>
    <s v="Benjamin Anderson"/>
    <x v="3"/>
    <s v="Germany"/>
    <s v="Coffee Mug"/>
    <x v="4"/>
    <n v="1"/>
    <n v="11.93"/>
    <n v="11.93"/>
    <d v="2024-10-09T00:00:00"/>
    <n v="2024"/>
    <n v="10"/>
    <s v="2024-10"/>
  </r>
  <r>
    <n v="150"/>
    <s v="Isabella Smith"/>
    <x v="2"/>
    <s v="Japan"/>
    <s v="Wireless Mouse"/>
    <x v="2"/>
    <n v="4"/>
    <n v="198.02"/>
    <n v="792.08"/>
    <d v="2024-02-28T00:00:00"/>
    <n v="2024"/>
    <n v="2"/>
    <s v="2024-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0BD31-2D73-4D77-BEDB-144FB3D28645}" name="Сводная таблица1" cacheId="1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0">
  <location ref="A1:B12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axis="axisRow" showAll="0">
      <items count="11">
        <item x="7"/>
        <item x="9"/>
        <item x="5"/>
        <item x="2"/>
        <item x="3"/>
        <item x="4"/>
        <item x="6"/>
        <item x="0"/>
        <item x="1"/>
        <item x="8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Сумма по полю Total Sales" fld="8" baseField="0" baseItem="0"/>
  </dataFields>
  <chartFormats count="3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154BC-A62A-466F-A660-5D87D8B55706}" name="Сводная таблица2" cacheId="1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1">
  <location ref="A1:B8" firstHeaderRow="1" firstDataRow="1" firstDataCol="1"/>
  <pivotFields count="13">
    <pivotField showAll="0"/>
    <pivotField showAll="0"/>
    <pivotField showAll="0"/>
    <pivotField showAll="0"/>
    <pivotField showAll="0"/>
    <pivotField axis="axisRow" showAll="0" sortType="descending">
      <items count="7">
        <item x="3"/>
        <item x="2"/>
        <item x="4"/>
        <item x="1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4" showAll="0"/>
    <pivotField showAll="0"/>
    <pivotField showAll="0"/>
    <pivotField showAll="0"/>
  </pivotFields>
  <rowFields count="1">
    <field x="5"/>
  </rowFields>
  <rowItems count="7">
    <i>
      <x v="1"/>
    </i>
    <i>
      <x v="3"/>
    </i>
    <i>
      <x v="2"/>
    </i>
    <i>
      <x v="5"/>
    </i>
    <i>
      <x v="4"/>
    </i>
    <i>
      <x/>
    </i>
    <i t="grand">
      <x/>
    </i>
  </rowItems>
  <colItems count="1">
    <i/>
  </colItems>
  <dataFields count="1">
    <dataField name="Сумма по полю Total Sales" fld="8" baseField="0" baseItem="0"/>
  </dataField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DDB72-5B42-4F05-B5E6-BA2851DB4062}" name="Сводная таблица3" cacheId="1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9">
  <location ref="A1:H8" firstHeaderRow="1" firstDataRow="2" firstDataCol="1"/>
  <pivotFields count="13"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axis="axisCol" showAll="0">
      <items count="7">
        <item x="3"/>
        <item x="2"/>
        <item x="4"/>
        <item x="1"/>
        <item x="5"/>
        <item x="0"/>
        <item t="default"/>
      </items>
    </pivotField>
    <pivotField showAll="0"/>
    <pivotField showAll="0"/>
    <pivotField dataField="1" showAll="0"/>
    <pivotField numFmtId="14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Total Sales" fld="8" baseField="0" baseItem="0"/>
  </dataFields>
  <chartFormats count="6"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EAD84-B217-43CF-B532-978A2F1083D4}" name="Сводная таблица4" cacheId="1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9">
  <location ref="A1:B12" firstHeaderRow="1" firstDataRow="1" firstDataCol="1"/>
  <pivotFields count="13">
    <pivotField showAll="0"/>
    <pivotField showAll="0"/>
    <pivotField showAll="0"/>
    <pivotField showAll="0"/>
    <pivotField axis="axisRow" showAll="0" measureFilter="1" sortType="descending">
      <items count="11">
        <item x="0"/>
        <item x="2"/>
        <item x="7"/>
        <item x="5"/>
        <item x="8"/>
        <item x="4"/>
        <item x="9"/>
        <item x="3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numFmtId="14" showAll="0"/>
    <pivotField showAll="0"/>
    <pivotField showAll="0"/>
    <pivotField showAll="0"/>
  </pivotFields>
  <rowFields count="1">
    <field x="4"/>
  </rowFields>
  <rowItems count="11">
    <i>
      <x v="2"/>
    </i>
    <i>
      <x/>
    </i>
    <i>
      <x v="4"/>
    </i>
    <i>
      <x v="7"/>
    </i>
    <i>
      <x v="9"/>
    </i>
    <i>
      <x v="1"/>
    </i>
    <i>
      <x v="8"/>
    </i>
    <i>
      <x v="5"/>
    </i>
    <i>
      <x v="6"/>
    </i>
    <i>
      <x v="3"/>
    </i>
    <i t="grand">
      <x/>
    </i>
  </rowItems>
  <colItems count="1">
    <i/>
  </colItems>
  <dataFields count="1">
    <dataField name="Сумма по полю Total Sales" fld="8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Синий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opLeftCell="A125" workbookViewId="0">
      <selection activeCell="N2" sqref="N2"/>
    </sheetView>
  </sheetViews>
  <sheetFormatPr defaultRowHeight="14.4" x14ac:dyDescent="0.3"/>
  <cols>
    <col min="1" max="1" width="8" bestFit="1" customWidth="1"/>
    <col min="2" max="2" width="17.77734375" bestFit="1" customWidth="1"/>
    <col min="3" max="3" width="12.88671875" bestFit="1" customWidth="1"/>
    <col min="4" max="4" width="11.5546875" bestFit="1" customWidth="1"/>
    <col min="5" max="5" width="16.109375" bestFit="1" customWidth="1"/>
    <col min="6" max="6" width="10.44140625" bestFit="1" customWidth="1"/>
    <col min="7" max="7" width="8.33203125" bestFit="1" customWidth="1"/>
    <col min="8" max="8" width="9.109375" bestFit="1" customWidth="1"/>
    <col min="9" max="9" width="9.88671875" bestFit="1" customWidth="1"/>
    <col min="10" max="10" width="10.109375" style="3" bestFit="1" customWidth="1"/>
    <col min="11" max="11" width="5" bestFit="1" customWidth="1"/>
    <col min="12" max="12" width="6.77734375" bestFit="1" customWidth="1"/>
    <col min="13" max="13" width="11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116</v>
      </c>
      <c r="D2" t="s">
        <v>121</v>
      </c>
      <c r="E2" t="s">
        <v>138</v>
      </c>
      <c r="F2" t="s">
        <v>148</v>
      </c>
      <c r="G2">
        <v>3</v>
      </c>
      <c r="H2">
        <v>60.24</v>
      </c>
      <c r="I2">
        <v>180.72</v>
      </c>
      <c r="J2" s="3">
        <v>45508</v>
      </c>
      <c r="K2">
        <v>2024</v>
      </c>
      <c r="L2">
        <v>8</v>
      </c>
      <c r="M2" t="s">
        <v>154</v>
      </c>
    </row>
    <row r="3" spans="1:13" x14ac:dyDescent="0.3">
      <c r="A3">
        <v>2</v>
      </c>
      <c r="B3" t="s">
        <v>14</v>
      </c>
      <c r="C3" t="s">
        <v>117</v>
      </c>
      <c r="D3" t="s">
        <v>122</v>
      </c>
      <c r="E3" t="s">
        <v>138</v>
      </c>
      <c r="F3" t="s">
        <v>148</v>
      </c>
      <c r="G3">
        <v>5</v>
      </c>
      <c r="H3">
        <v>85.58</v>
      </c>
      <c r="I3">
        <v>427.9</v>
      </c>
      <c r="J3" s="3">
        <v>45557</v>
      </c>
      <c r="K3">
        <v>2024</v>
      </c>
      <c r="L3">
        <v>9</v>
      </c>
      <c r="M3" t="s">
        <v>155</v>
      </c>
    </row>
    <row r="4" spans="1:13" x14ac:dyDescent="0.3">
      <c r="A4">
        <v>3</v>
      </c>
      <c r="B4" t="s">
        <v>15</v>
      </c>
      <c r="C4" t="s">
        <v>118</v>
      </c>
      <c r="D4" t="s">
        <v>123</v>
      </c>
      <c r="E4" t="s">
        <v>139</v>
      </c>
      <c r="F4" t="s">
        <v>149</v>
      </c>
      <c r="G4">
        <v>4</v>
      </c>
      <c r="H4">
        <v>145.02000000000001</v>
      </c>
      <c r="I4">
        <v>580.08000000000004</v>
      </c>
      <c r="J4" s="3">
        <v>45386</v>
      </c>
      <c r="K4">
        <v>2024</v>
      </c>
      <c r="L4">
        <v>4</v>
      </c>
      <c r="M4" t="s">
        <v>156</v>
      </c>
    </row>
    <row r="5" spans="1:13" x14ac:dyDescent="0.3">
      <c r="A5">
        <v>4</v>
      </c>
      <c r="B5" t="s">
        <v>16</v>
      </c>
      <c r="C5" t="s">
        <v>118</v>
      </c>
      <c r="D5" t="s">
        <v>124</v>
      </c>
      <c r="E5" t="s">
        <v>140</v>
      </c>
      <c r="F5" t="s">
        <v>150</v>
      </c>
      <c r="G5">
        <v>1</v>
      </c>
      <c r="H5">
        <v>39.57</v>
      </c>
      <c r="I5">
        <v>39.57</v>
      </c>
      <c r="J5" s="3">
        <v>45424</v>
      </c>
      <c r="K5">
        <v>2024</v>
      </c>
      <c r="L5">
        <v>5</v>
      </c>
      <c r="M5" t="s">
        <v>157</v>
      </c>
    </row>
    <row r="6" spans="1:13" x14ac:dyDescent="0.3">
      <c r="A6">
        <v>5</v>
      </c>
      <c r="B6" t="s">
        <v>17</v>
      </c>
      <c r="C6" t="s">
        <v>119</v>
      </c>
      <c r="D6" t="s">
        <v>125</v>
      </c>
      <c r="E6" t="s">
        <v>141</v>
      </c>
      <c r="F6" t="s">
        <v>149</v>
      </c>
      <c r="G6">
        <v>5</v>
      </c>
      <c r="H6">
        <v>188.69</v>
      </c>
      <c r="I6">
        <v>943.45</v>
      </c>
      <c r="J6" s="3">
        <v>45447</v>
      </c>
      <c r="K6">
        <v>2024</v>
      </c>
      <c r="L6">
        <v>6</v>
      </c>
      <c r="M6" t="s">
        <v>158</v>
      </c>
    </row>
    <row r="7" spans="1:13" x14ac:dyDescent="0.3">
      <c r="A7">
        <v>6</v>
      </c>
      <c r="B7" t="s">
        <v>18</v>
      </c>
      <c r="C7" t="s">
        <v>116</v>
      </c>
      <c r="D7" t="s">
        <v>126</v>
      </c>
      <c r="E7" t="s">
        <v>142</v>
      </c>
      <c r="F7" t="s">
        <v>151</v>
      </c>
      <c r="G7">
        <v>1</v>
      </c>
      <c r="H7">
        <v>112.64</v>
      </c>
      <c r="I7">
        <v>112.64</v>
      </c>
      <c r="J7" s="3">
        <v>45526</v>
      </c>
      <c r="K7">
        <v>2024</v>
      </c>
      <c r="L7">
        <v>8</v>
      </c>
      <c r="M7" t="s">
        <v>154</v>
      </c>
    </row>
    <row r="8" spans="1:13" x14ac:dyDescent="0.3">
      <c r="A8">
        <v>7</v>
      </c>
      <c r="B8" t="s">
        <v>19</v>
      </c>
      <c r="C8" t="s">
        <v>117</v>
      </c>
      <c r="D8" t="s">
        <v>122</v>
      </c>
      <c r="E8" t="s">
        <v>143</v>
      </c>
      <c r="F8" t="s">
        <v>152</v>
      </c>
      <c r="G8">
        <v>3</v>
      </c>
      <c r="H8">
        <v>38.47</v>
      </c>
      <c r="I8">
        <v>115.41</v>
      </c>
      <c r="J8" s="3">
        <v>45379</v>
      </c>
      <c r="K8">
        <v>2024</v>
      </c>
      <c r="L8">
        <v>3</v>
      </c>
      <c r="M8" t="s">
        <v>159</v>
      </c>
    </row>
    <row r="9" spans="1:13" x14ac:dyDescent="0.3">
      <c r="A9">
        <v>8</v>
      </c>
      <c r="B9" t="s">
        <v>20</v>
      </c>
      <c r="C9" t="s">
        <v>120</v>
      </c>
      <c r="D9" t="s">
        <v>127</v>
      </c>
      <c r="E9" t="s">
        <v>139</v>
      </c>
      <c r="F9" t="s">
        <v>149</v>
      </c>
      <c r="G9">
        <v>1</v>
      </c>
      <c r="H9">
        <v>162.91</v>
      </c>
      <c r="I9">
        <v>162.91</v>
      </c>
      <c r="J9" s="3">
        <v>45552</v>
      </c>
      <c r="K9">
        <v>2024</v>
      </c>
      <c r="L9">
        <v>9</v>
      </c>
      <c r="M9" t="s">
        <v>155</v>
      </c>
    </row>
    <row r="10" spans="1:13" x14ac:dyDescent="0.3">
      <c r="A10">
        <v>9</v>
      </c>
      <c r="B10" t="s">
        <v>21</v>
      </c>
      <c r="C10" t="s">
        <v>116</v>
      </c>
      <c r="D10" t="s">
        <v>128</v>
      </c>
      <c r="E10" t="s">
        <v>138</v>
      </c>
      <c r="F10" t="s">
        <v>148</v>
      </c>
      <c r="G10">
        <v>1</v>
      </c>
      <c r="H10">
        <v>153.28</v>
      </c>
      <c r="I10">
        <v>153.28</v>
      </c>
      <c r="J10" s="3">
        <v>45436</v>
      </c>
      <c r="K10">
        <v>2024</v>
      </c>
      <c r="L10">
        <v>5</v>
      </c>
      <c r="M10" t="s">
        <v>157</v>
      </c>
    </row>
    <row r="11" spans="1:13" x14ac:dyDescent="0.3">
      <c r="A11">
        <v>10</v>
      </c>
      <c r="B11" t="s">
        <v>16</v>
      </c>
      <c r="C11" t="s">
        <v>120</v>
      </c>
      <c r="D11" t="s">
        <v>127</v>
      </c>
      <c r="E11" t="s">
        <v>144</v>
      </c>
      <c r="F11" t="s">
        <v>150</v>
      </c>
      <c r="G11">
        <v>2</v>
      </c>
      <c r="H11">
        <v>178.34</v>
      </c>
      <c r="I11">
        <v>356.68</v>
      </c>
      <c r="J11" s="3">
        <v>45482</v>
      </c>
      <c r="K11">
        <v>2024</v>
      </c>
      <c r="L11">
        <v>7</v>
      </c>
      <c r="M11" t="s">
        <v>160</v>
      </c>
    </row>
    <row r="12" spans="1:13" x14ac:dyDescent="0.3">
      <c r="A12">
        <v>11</v>
      </c>
      <c r="B12" t="s">
        <v>22</v>
      </c>
      <c r="C12" t="s">
        <v>118</v>
      </c>
      <c r="D12" t="s">
        <v>123</v>
      </c>
      <c r="E12" t="s">
        <v>144</v>
      </c>
      <c r="F12" t="s">
        <v>150</v>
      </c>
      <c r="G12">
        <v>3</v>
      </c>
      <c r="H12">
        <v>67.400000000000006</v>
      </c>
      <c r="I12">
        <v>202.2</v>
      </c>
      <c r="J12" s="3">
        <v>45407</v>
      </c>
      <c r="K12">
        <v>2024</v>
      </c>
      <c r="L12">
        <v>4</v>
      </c>
      <c r="M12" t="s">
        <v>156</v>
      </c>
    </row>
    <row r="13" spans="1:13" x14ac:dyDescent="0.3">
      <c r="A13">
        <v>12</v>
      </c>
      <c r="B13" t="s">
        <v>23</v>
      </c>
      <c r="C13" t="s">
        <v>116</v>
      </c>
      <c r="D13" t="s">
        <v>128</v>
      </c>
      <c r="E13" t="s">
        <v>145</v>
      </c>
      <c r="F13" t="s">
        <v>152</v>
      </c>
      <c r="G13">
        <v>2</v>
      </c>
      <c r="H13">
        <v>181.66</v>
      </c>
      <c r="I13">
        <v>363.32</v>
      </c>
      <c r="J13" s="3">
        <v>45425</v>
      </c>
      <c r="K13">
        <v>2024</v>
      </c>
      <c r="L13">
        <v>5</v>
      </c>
      <c r="M13" t="s">
        <v>157</v>
      </c>
    </row>
    <row r="14" spans="1:13" x14ac:dyDescent="0.3">
      <c r="A14">
        <v>13</v>
      </c>
      <c r="B14" t="s">
        <v>24</v>
      </c>
      <c r="C14" t="s">
        <v>118</v>
      </c>
      <c r="D14" t="s">
        <v>129</v>
      </c>
      <c r="E14" t="s">
        <v>140</v>
      </c>
      <c r="F14" t="s">
        <v>150</v>
      </c>
      <c r="G14">
        <v>4</v>
      </c>
      <c r="H14">
        <v>122.4</v>
      </c>
      <c r="I14">
        <v>489.6</v>
      </c>
      <c r="J14" s="3">
        <v>45449</v>
      </c>
      <c r="K14">
        <v>2024</v>
      </c>
      <c r="L14">
        <v>6</v>
      </c>
      <c r="M14" t="s">
        <v>158</v>
      </c>
    </row>
    <row r="15" spans="1:13" x14ac:dyDescent="0.3">
      <c r="A15">
        <v>14</v>
      </c>
      <c r="B15" t="s">
        <v>25</v>
      </c>
      <c r="C15" t="s">
        <v>120</v>
      </c>
      <c r="D15" t="s">
        <v>127</v>
      </c>
      <c r="E15" t="s">
        <v>143</v>
      </c>
      <c r="F15" t="s">
        <v>152</v>
      </c>
      <c r="G15">
        <v>1</v>
      </c>
      <c r="H15">
        <v>100.56</v>
      </c>
      <c r="I15">
        <v>100.56</v>
      </c>
      <c r="J15" s="3">
        <v>45471</v>
      </c>
      <c r="K15">
        <v>2024</v>
      </c>
      <c r="L15">
        <v>6</v>
      </c>
      <c r="M15" t="s">
        <v>158</v>
      </c>
    </row>
    <row r="16" spans="1:13" x14ac:dyDescent="0.3">
      <c r="A16">
        <v>15</v>
      </c>
      <c r="B16" t="s">
        <v>26</v>
      </c>
      <c r="C16" t="s">
        <v>116</v>
      </c>
      <c r="D16" t="s">
        <v>128</v>
      </c>
      <c r="E16" t="s">
        <v>144</v>
      </c>
      <c r="F16" t="s">
        <v>150</v>
      </c>
      <c r="G16">
        <v>5</v>
      </c>
      <c r="H16">
        <v>83.95</v>
      </c>
      <c r="I16">
        <v>419.75</v>
      </c>
      <c r="J16" s="3">
        <v>45446</v>
      </c>
      <c r="K16">
        <v>2024</v>
      </c>
      <c r="L16">
        <v>6</v>
      </c>
      <c r="M16" t="s">
        <v>158</v>
      </c>
    </row>
    <row r="17" spans="1:13" x14ac:dyDescent="0.3">
      <c r="A17">
        <v>16</v>
      </c>
      <c r="B17" t="s">
        <v>27</v>
      </c>
      <c r="C17" t="s">
        <v>117</v>
      </c>
      <c r="D17" t="s">
        <v>122</v>
      </c>
      <c r="E17" t="s">
        <v>146</v>
      </c>
      <c r="F17" t="s">
        <v>153</v>
      </c>
      <c r="G17">
        <v>4</v>
      </c>
      <c r="H17">
        <v>172.94</v>
      </c>
      <c r="I17">
        <v>691.76</v>
      </c>
      <c r="J17" s="3">
        <v>45382</v>
      </c>
      <c r="K17">
        <v>2024</v>
      </c>
      <c r="L17">
        <v>3</v>
      </c>
      <c r="M17" t="s">
        <v>159</v>
      </c>
    </row>
    <row r="18" spans="1:13" x14ac:dyDescent="0.3">
      <c r="A18">
        <v>17</v>
      </c>
      <c r="B18" t="s">
        <v>28</v>
      </c>
      <c r="C18" t="s">
        <v>120</v>
      </c>
      <c r="D18" t="s">
        <v>127</v>
      </c>
      <c r="E18" t="s">
        <v>143</v>
      </c>
      <c r="F18" t="s">
        <v>152</v>
      </c>
      <c r="G18">
        <v>3</v>
      </c>
      <c r="H18">
        <v>98.32</v>
      </c>
      <c r="I18">
        <v>294.95999999999998</v>
      </c>
      <c r="J18" s="3">
        <v>45531</v>
      </c>
      <c r="K18">
        <v>2024</v>
      </c>
      <c r="L18">
        <v>8</v>
      </c>
      <c r="M18" t="s">
        <v>154</v>
      </c>
    </row>
    <row r="19" spans="1:13" x14ac:dyDescent="0.3">
      <c r="A19">
        <v>18</v>
      </c>
      <c r="B19" t="s">
        <v>29</v>
      </c>
      <c r="C19" t="s">
        <v>119</v>
      </c>
      <c r="D19" t="s">
        <v>130</v>
      </c>
      <c r="E19" t="s">
        <v>143</v>
      </c>
      <c r="F19" t="s">
        <v>152</v>
      </c>
      <c r="G19">
        <v>4</v>
      </c>
      <c r="H19">
        <v>68.790000000000006</v>
      </c>
      <c r="I19">
        <v>275.16000000000003</v>
      </c>
      <c r="J19" s="3">
        <v>45451</v>
      </c>
      <c r="K19">
        <v>2024</v>
      </c>
      <c r="L19">
        <v>6</v>
      </c>
      <c r="M19" t="s">
        <v>158</v>
      </c>
    </row>
    <row r="20" spans="1:13" x14ac:dyDescent="0.3">
      <c r="A20">
        <v>19</v>
      </c>
      <c r="B20" t="s">
        <v>22</v>
      </c>
      <c r="C20" t="s">
        <v>120</v>
      </c>
      <c r="D20" t="s">
        <v>131</v>
      </c>
      <c r="E20" t="s">
        <v>138</v>
      </c>
      <c r="F20" t="s">
        <v>148</v>
      </c>
      <c r="G20">
        <v>4</v>
      </c>
      <c r="H20">
        <v>110.38</v>
      </c>
      <c r="I20">
        <v>441.52</v>
      </c>
      <c r="J20" s="3">
        <v>45422</v>
      </c>
      <c r="K20">
        <v>2024</v>
      </c>
      <c r="L20">
        <v>5</v>
      </c>
      <c r="M20" t="s">
        <v>157</v>
      </c>
    </row>
    <row r="21" spans="1:13" x14ac:dyDescent="0.3">
      <c r="A21">
        <v>20</v>
      </c>
      <c r="B21" t="s">
        <v>30</v>
      </c>
      <c r="C21" t="s">
        <v>119</v>
      </c>
      <c r="D21" t="s">
        <v>132</v>
      </c>
      <c r="E21" t="s">
        <v>138</v>
      </c>
      <c r="F21" t="s">
        <v>148</v>
      </c>
      <c r="G21">
        <v>4</v>
      </c>
      <c r="H21">
        <v>133.26</v>
      </c>
      <c r="I21">
        <v>533.04</v>
      </c>
      <c r="J21" s="3">
        <v>45538</v>
      </c>
      <c r="K21">
        <v>2024</v>
      </c>
      <c r="L21">
        <v>9</v>
      </c>
      <c r="M21" t="s">
        <v>155</v>
      </c>
    </row>
    <row r="22" spans="1:13" x14ac:dyDescent="0.3">
      <c r="A22">
        <v>21</v>
      </c>
      <c r="B22" t="s">
        <v>31</v>
      </c>
      <c r="C22" t="s">
        <v>118</v>
      </c>
      <c r="D22" t="s">
        <v>129</v>
      </c>
      <c r="E22" t="s">
        <v>141</v>
      </c>
      <c r="F22" t="s">
        <v>149</v>
      </c>
      <c r="G22">
        <v>3</v>
      </c>
      <c r="H22">
        <v>15.06</v>
      </c>
      <c r="I22">
        <v>45.18</v>
      </c>
      <c r="J22" s="3">
        <v>45471</v>
      </c>
      <c r="K22">
        <v>2024</v>
      </c>
      <c r="L22">
        <v>6</v>
      </c>
      <c r="M22" t="s">
        <v>158</v>
      </c>
    </row>
    <row r="23" spans="1:13" x14ac:dyDescent="0.3">
      <c r="A23">
        <v>22</v>
      </c>
      <c r="B23" t="s">
        <v>32</v>
      </c>
      <c r="C23" t="s">
        <v>116</v>
      </c>
      <c r="D23" t="s">
        <v>121</v>
      </c>
      <c r="E23" t="s">
        <v>147</v>
      </c>
      <c r="F23" t="s">
        <v>150</v>
      </c>
      <c r="G23">
        <v>5</v>
      </c>
      <c r="H23">
        <v>41.09</v>
      </c>
      <c r="I23">
        <v>205.45</v>
      </c>
      <c r="J23" s="3">
        <v>45389</v>
      </c>
      <c r="K23">
        <v>2024</v>
      </c>
      <c r="L23">
        <v>4</v>
      </c>
      <c r="M23" t="s">
        <v>156</v>
      </c>
    </row>
    <row r="24" spans="1:13" x14ac:dyDescent="0.3">
      <c r="A24">
        <v>23</v>
      </c>
      <c r="B24" t="s">
        <v>19</v>
      </c>
      <c r="C24" t="s">
        <v>118</v>
      </c>
      <c r="D24" t="s">
        <v>129</v>
      </c>
      <c r="E24" t="s">
        <v>144</v>
      </c>
      <c r="F24" t="s">
        <v>150</v>
      </c>
      <c r="G24">
        <v>4</v>
      </c>
      <c r="H24">
        <v>19.66</v>
      </c>
      <c r="I24">
        <v>78.64</v>
      </c>
      <c r="J24" s="3">
        <v>45294</v>
      </c>
      <c r="K24">
        <v>2024</v>
      </c>
      <c r="L24">
        <v>1</v>
      </c>
      <c r="M24" t="s">
        <v>161</v>
      </c>
    </row>
    <row r="25" spans="1:13" x14ac:dyDescent="0.3">
      <c r="A25">
        <v>24</v>
      </c>
      <c r="B25" t="s">
        <v>33</v>
      </c>
      <c r="C25" t="s">
        <v>116</v>
      </c>
      <c r="D25" t="s">
        <v>126</v>
      </c>
      <c r="E25" t="s">
        <v>138</v>
      </c>
      <c r="F25" t="s">
        <v>148</v>
      </c>
      <c r="G25">
        <v>1</v>
      </c>
      <c r="H25">
        <v>74.14</v>
      </c>
      <c r="I25">
        <v>74.14</v>
      </c>
      <c r="J25" s="3">
        <v>45391</v>
      </c>
      <c r="K25">
        <v>2024</v>
      </c>
      <c r="L25">
        <v>4</v>
      </c>
      <c r="M25" t="s">
        <v>156</v>
      </c>
    </row>
    <row r="26" spans="1:13" x14ac:dyDescent="0.3">
      <c r="A26">
        <v>25</v>
      </c>
      <c r="B26" t="s">
        <v>34</v>
      </c>
      <c r="C26" t="s">
        <v>120</v>
      </c>
      <c r="D26" t="s">
        <v>127</v>
      </c>
      <c r="E26" t="s">
        <v>145</v>
      </c>
      <c r="F26" t="s">
        <v>152</v>
      </c>
      <c r="G26">
        <v>1</v>
      </c>
      <c r="H26">
        <v>80.11</v>
      </c>
      <c r="I26">
        <v>80.11</v>
      </c>
      <c r="J26" s="3">
        <v>45568</v>
      </c>
      <c r="K26">
        <v>2024</v>
      </c>
      <c r="L26">
        <v>10</v>
      </c>
      <c r="M26" t="s">
        <v>162</v>
      </c>
    </row>
    <row r="27" spans="1:13" x14ac:dyDescent="0.3">
      <c r="A27">
        <v>26</v>
      </c>
      <c r="B27" t="s">
        <v>35</v>
      </c>
      <c r="C27" t="s">
        <v>117</v>
      </c>
      <c r="D27" t="s">
        <v>133</v>
      </c>
      <c r="E27" t="s">
        <v>140</v>
      </c>
      <c r="F27" t="s">
        <v>150</v>
      </c>
      <c r="G27">
        <v>5</v>
      </c>
      <c r="H27">
        <v>47.48</v>
      </c>
      <c r="I27">
        <v>237.4</v>
      </c>
      <c r="J27" s="3">
        <v>45427</v>
      </c>
      <c r="K27">
        <v>2024</v>
      </c>
      <c r="L27">
        <v>5</v>
      </c>
      <c r="M27" t="s">
        <v>157</v>
      </c>
    </row>
    <row r="28" spans="1:13" x14ac:dyDescent="0.3">
      <c r="A28">
        <v>27</v>
      </c>
      <c r="B28" t="s">
        <v>36</v>
      </c>
      <c r="C28" t="s">
        <v>120</v>
      </c>
      <c r="D28" t="s">
        <v>134</v>
      </c>
      <c r="E28" t="s">
        <v>141</v>
      </c>
      <c r="F28" t="s">
        <v>149</v>
      </c>
      <c r="G28">
        <v>1</v>
      </c>
      <c r="H28">
        <v>53.74</v>
      </c>
      <c r="I28">
        <v>53.74</v>
      </c>
      <c r="J28" s="3">
        <v>45442</v>
      </c>
      <c r="K28">
        <v>2024</v>
      </c>
      <c r="L28">
        <v>5</v>
      </c>
      <c r="M28" t="s">
        <v>157</v>
      </c>
    </row>
    <row r="29" spans="1:13" x14ac:dyDescent="0.3">
      <c r="A29">
        <v>28</v>
      </c>
      <c r="B29" t="s">
        <v>37</v>
      </c>
      <c r="C29" t="s">
        <v>117</v>
      </c>
      <c r="D29" t="s">
        <v>122</v>
      </c>
      <c r="E29" t="s">
        <v>142</v>
      </c>
      <c r="F29" t="s">
        <v>151</v>
      </c>
      <c r="G29">
        <v>5</v>
      </c>
      <c r="H29">
        <v>189.56</v>
      </c>
      <c r="I29">
        <v>947.8</v>
      </c>
      <c r="J29" s="3">
        <v>45381</v>
      </c>
      <c r="K29">
        <v>2024</v>
      </c>
      <c r="L29">
        <v>3</v>
      </c>
      <c r="M29" t="s">
        <v>159</v>
      </c>
    </row>
    <row r="30" spans="1:13" x14ac:dyDescent="0.3">
      <c r="A30">
        <v>29</v>
      </c>
      <c r="B30" t="s">
        <v>15</v>
      </c>
      <c r="C30" t="s">
        <v>120</v>
      </c>
      <c r="D30" t="s">
        <v>127</v>
      </c>
      <c r="E30" t="s">
        <v>147</v>
      </c>
      <c r="F30" t="s">
        <v>150</v>
      </c>
      <c r="G30">
        <v>3</v>
      </c>
      <c r="H30">
        <v>183.18</v>
      </c>
      <c r="I30">
        <v>549.54</v>
      </c>
      <c r="J30" s="3">
        <v>45416</v>
      </c>
      <c r="K30">
        <v>2024</v>
      </c>
      <c r="L30">
        <v>5</v>
      </c>
      <c r="M30" t="s">
        <v>157</v>
      </c>
    </row>
    <row r="31" spans="1:13" x14ac:dyDescent="0.3">
      <c r="A31">
        <v>30</v>
      </c>
      <c r="B31" t="s">
        <v>21</v>
      </c>
      <c r="C31" t="s">
        <v>116</v>
      </c>
      <c r="D31" t="s">
        <v>128</v>
      </c>
      <c r="E31" t="s">
        <v>140</v>
      </c>
      <c r="F31" t="s">
        <v>150</v>
      </c>
      <c r="G31">
        <v>3</v>
      </c>
      <c r="H31">
        <v>131.54</v>
      </c>
      <c r="I31">
        <v>394.62</v>
      </c>
      <c r="J31" s="3">
        <v>45524</v>
      </c>
      <c r="K31">
        <v>2024</v>
      </c>
      <c r="L31">
        <v>8</v>
      </c>
      <c r="M31" t="s">
        <v>154</v>
      </c>
    </row>
    <row r="32" spans="1:13" x14ac:dyDescent="0.3">
      <c r="A32">
        <v>31</v>
      </c>
      <c r="B32" t="s">
        <v>33</v>
      </c>
      <c r="C32" t="s">
        <v>117</v>
      </c>
      <c r="D32" t="s">
        <v>122</v>
      </c>
      <c r="E32" t="s">
        <v>138</v>
      </c>
      <c r="F32" t="s">
        <v>148</v>
      </c>
      <c r="G32">
        <v>1</v>
      </c>
      <c r="H32">
        <v>113</v>
      </c>
      <c r="I32">
        <v>113</v>
      </c>
      <c r="J32" s="3">
        <v>45341</v>
      </c>
      <c r="K32">
        <v>2024</v>
      </c>
      <c r="L32">
        <v>2</v>
      </c>
      <c r="M32" t="s">
        <v>163</v>
      </c>
    </row>
    <row r="33" spans="1:13" x14ac:dyDescent="0.3">
      <c r="A33">
        <v>32</v>
      </c>
      <c r="B33" t="s">
        <v>38</v>
      </c>
      <c r="C33" t="s">
        <v>120</v>
      </c>
      <c r="D33" t="s">
        <v>131</v>
      </c>
      <c r="E33" t="s">
        <v>139</v>
      </c>
      <c r="F33" t="s">
        <v>149</v>
      </c>
      <c r="G33">
        <v>5</v>
      </c>
      <c r="H33">
        <v>39.51</v>
      </c>
      <c r="I33">
        <v>197.55</v>
      </c>
      <c r="J33" s="3">
        <v>45333</v>
      </c>
      <c r="K33">
        <v>2024</v>
      </c>
      <c r="L33">
        <v>2</v>
      </c>
      <c r="M33" t="s">
        <v>163</v>
      </c>
    </row>
    <row r="34" spans="1:13" x14ac:dyDescent="0.3">
      <c r="A34">
        <v>33</v>
      </c>
      <c r="B34" t="s">
        <v>39</v>
      </c>
      <c r="C34" t="s">
        <v>120</v>
      </c>
      <c r="D34" t="s">
        <v>134</v>
      </c>
      <c r="E34" t="s">
        <v>140</v>
      </c>
      <c r="F34" t="s">
        <v>150</v>
      </c>
      <c r="G34">
        <v>1</v>
      </c>
      <c r="H34">
        <v>84.49</v>
      </c>
      <c r="I34">
        <v>84.49</v>
      </c>
      <c r="J34" s="3">
        <v>45375</v>
      </c>
      <c r="K34">
        <v>2024</v>
      </c>
      <c r="L34">
        <v>3</v>
      </c>
      <c r="M34" t="s">
        <v>159</v>
      </c>
    </row>
    <row r="35" spans="1:13" x14ac:dyDescent="0.3">
      <c r="A35">
        <v>34</v>
      </c>
      <c r="B35" t="s">
        <v>40</v>
      </c>
      <c r="C35" t="s">
        <v>120</v>
      </c>
      <c r="D35" t="s">
        <v>127</v>
      </c>
      <c r="E35" t="s">
        <v>145</v>
      </c>
      <c r="F35" t="s">
        <v>152</v>
      </c>
      <c r="G35">
        <v>2</v>
      </c>
      <c r="H35">
        <v>38.92</v>
      </c>
      <c r="I35">
        <v>77.84</v>
      </c>
      <c r="J35" s="3">
        <v>45293</v>
      </c>
      <c r="K35">
        <v>2024</v>
      </c>
      <c r="L35">
        <v>1</v>
      </c>
      <c r="M35" t="s">
        <v>161</v>
      </c>
    </row>
    <row r="36" spans="1:13" x14ac:dyDescent="0.3">
      <c r="A36">
        <v>35</v>
      </c>
      <c r="B36" t="s">
        <v>41</v>
      </c>
      <c r="C36" t="s">
        <v>119</v>
      </c>
      <c r="D36" t="s">
        <v>125</v>
      </c>
      <c r="E36" t="s">
        <v>147</v>
      </c>
      <c r="F36" t="s">
        <v>150</v>
      </c>
      <c r="G36">
        <v>4</v>
      </c>
      <c r="H36">
        <v>172.9</v>
      </c>
      <c r="I36">
        <v>691.6</v>
      </c>
      <c r="J36" s="3">
        <v>45369</v>
      </c>
      <c r="K36">
        <v>2024</v>
      </c>
      <c r="L36">
        <v>3</v>
      </c>
      <c r="M36" t="s">
        <v>159</v>
      </c>
    </row>
    <row r="37" spans="1:13" x14ac:dyDescent="0.3">
      <c r="A37">
        <v>36</v>
      </c>
      <c r="B37" t="s">
        <v>42</v>
      </c>
      <c r="C37" t="s">
        <v>117</v>
      </c>
      <c r="D37" t="s">
        <v>133</v>
      </c>
      <c r="E37" t="s">
        <v>142</v>
      </c>
      <c r="F37" t="s">
        <v>151</v>
      </c>
      <c r="G37">
        <v>3</v>
      </c>
      <c r="H37">
        <v>178.65</v>
      </c>
      <c r="I37">
        <v>535.95000000000005</v>
      </c>
      <c r="J37" s="3">
        <v>45418</v>
      </c>
      <c r="K37">
        <v>2024</v>
      </c>
      <c r="L37">
        <v>5</v>
      </c>
      <c r="M37" t="s">
        <v>157</v>
      </c>
    </row>
    <row r="38" spans="1:13" x14ac:dyDescent="0.3">
      <c r="A38">
        <v>37</v>
      </c>
      <c r="B38" t="s">
        <v>43</v>
      </c>
      <c r="C38" t="s">
        <v>120</v>
      </c>
      <c r="D38" t="s">
        <v>131</v>
      </c>
      <c r="E38" t="s">
        <v>146</v>
      </c>
      <c r="F38" t="s">
        <v>153</v>
      </c>
      <c r="G38">
        <v>1</v>
      </c>
      <c r="H38">
        <v>64.19</v>
      </c>
      <c r="I38">
        <v>64.19</v>
      </c>
      <c r="J38" s="3">
        <v>45507</v>
      </c>
      <c r="K38">
        <v>2024</v>
      </c>
      <c r="L38">
        <v>8</v>
      </c>
      <c r="M38" t="s">
        <v>154</v>
      </c>
    </row>
    <row r="39" spans="1:13" x14ac:dyDescent="0.3">
      <c r="A39">
        <v>38</v>
      </c>
      <c r="B39" t="s">
        <v>44</v>
      </c>
      <c r="C39" t="s">
        <v>119</v>
      </c>
      <c r="D39" t="s">
        <v>135</v>
      </c>
      <c r="E39" t="s">
        <v>144</v>
      </c>
      <c r="F39" t="s">
        <v>150</v>
      </c>
      <c r="G39">
        <v>3</v>
      </c>
      <c r="H39">
        <v>168.06</v>
      </c>
      <c r="I39">
        <v>504.18</v>
      </c>
      <c r="J39" s="3">
        <v>45486</v>
      </c>
      <c r="K39">
        <v>2024</v>
      </c>
      <c r="L39">
        <v>7</v>
      </c>
      <c r="M39" t="s">
        <v>160</v>
      </c>
    </row>
    <row r="40" spans="1:13" x14ac:dyDescent="0.3">
      <c r="A40">
        <v>39</v>
      </c>
      <c r="B40" t="s">
        <v>45</v>
      </c>
      <c r="C40" t="s">
        <v>117</v>
      </c>
      <c r="D40" t="s">
        <v>122</v>
      </c>
      <c r="E40" t="s">
        <v>139</v>
      </c>
      <c r="F40" t="s">
        <v>149</v>
      </c>
      <c r="G40">
        <v>4</v>
      </c>
      <c r="H40">
        <v>169.06</v>
      </c>
      <c r="I40">
        <v>676.24</v>
      </c>
      <c r="J40" s="3">
        <v>45479</v>
      </c>
      <c r="K40">
        <v>2024</v>
      </c>
      <c r="L40">
        <v>7</v>
      </c>
      <c r="M40" t="s">
        <v>160</v>
      </c>
    </row>
    <row r="41" spans="1:13" x14ac:dyDescent="0.3">
      <c r="A41">
        <v>40</v>
      </c>
      <c r="B41" t="s">
        <v>38</v>
      </c>
      <c r="C41" t="s">
        <v>116</v>
      </c>
      <c r="D41" t="s">
        <v>121</v>
      </c>
      <c r="E41" t="s">
        <v>145</v>
      </c>
      <c r="F41" t="s">
        <v>152</v>
      </c>
      <c r="G41">
        <v>4</v>
      </c>
      <c r="H41">
        <v>18.2</v>
      </c>
      <c r="I41">
        <v>72.8</v>
      </c>
      <c r="J41" s="3">
        <v>45333</v>
      </c>
      <c r="K41">
        <v>2024</v>
      </c>
      <c r="L41">
        <v>2</v>
      </c>
      <c r="M41" t="s">
        <v>163</v>
      </c>
    </row>
    <row r="42" spans="1:13" x14ac:dyDescent="0.3">
      <c r="A42">
        <v>41</v>
      </c>
      <c r="B42" t="s">
        <v>46</v>
      </c>
      <c r="C42" t="s">
        <v>120</v>
      </c>
      <c r="D42" t="s">
        <v>131</v>
      </c>
      <c r="E42" t="s">
        <v>142</v>
      </c>
      <c r="F42" t="s">
        <v>151</v>
      </c>
      <c r="G42">
        <v>3</v>
      </c>
      <c r="H42">
        <v>100.86</v>
      </c>
      <c r="I42">
        <v>302.58</v>
      </c>
      <c r="J42" s="3">
        <v>45433</v>
      </c>
      <c r="K42">
        <v>2024</v>
      </c>
      <c r="L42">
        <v>5</v>
      </c>
      <c r="M42" t="s">
        <v>157</v>
      </c>
    </row>
    <row r="43" spans="1:13" x14ac:dyDescent="0.3">
      <c r="A43">
        <v>42</v>
      </c>
      <c r="B43" t="s">
        <v>47</v>
      </c>
      <c r="C43" t="s">
        <v>118</v>
      </c>
      <c r="D43" t="s">
        <v>129</v>
      </c>
      <c r="E43" t="s">
        <v>139</v>
      </c>
      <c r="F43" t="s">
        <v>149</v>
      </c>
      <c r="G43">
        <v>2</v>
      </c>
      <c r="H43">
        <v>129</v>
      </c>
      <c r="I43">
        <v>258</v>
      </c>
      <c r="J43" s="3">
        <v>45383</v>
      </c>
      <c r="K43">
        <v>2024</v>
      </c>
      <c r="L43">
        <v>4</v>
      </c>
      <c r="M43" t="s">
        <v>156</v>
      </c>
    </row>
    <row r="44" spans="1:13" x14ac:dyDescent="0.3">
      <c r="A44">
        <v>43</v>
      </c>
      <c r="B44" t="s">
        <v>48</v>
      </c>
      <c r="C44" t="s">
        <v>117</v>
      </c>
      <c r="D44" t="s">
        <v>133</v>
      </c>
      <c r="E44" t="s">
        <v>146</v>
      </c>
      <c r="F44" t="s">
        <v>153</v>
      </c>
      <c r="G44">
        <v>5</v>
      </c>
      <c r="H44">
        <v>106.77</v>
      </c>
      <c r="I44">
        <v>533.85</v>
      </c>
      <c r="J44" s="3">
        <v>45459</v>
      </c>
      <c r="K44">
        <v>2024</v>
      </c>
      <c r="L44">
        <v>6</v>
      </c>
      <c r="M44" t="s">
        <v>158</v>
      </c>
    </row>
    <row r="45" spans="1:13" x14ac:dyDescent="0.3">
      <c r="A45">
        <v>44</v>
      </c>
      <c r="B45" t="s">
        <v>49</v>
      </c>
      <c r="C45" t="s">
        <v>118</v>
      </c>
      <c r="D45" t="s">
        <v>124</v>
      </c>
      <c r="E45" t="s">
        <v>141</v>
      </c>
      <c r="F45" t="s">
        <v>149</v>
      </c>
      <c r="G45">
        <v>1</v>
      </c>
      <c r="H45">
        <v>123.87</v>
      </c>
      <c r="I45">
        <v>123.87</v>
      </c>
      <c r="J45" s="3">
        <v>45343</v>
      </c>
      <c r="K45">
        <v>2024</v>
      </c>
      <c r="L45">
        <v>2</v>
      </c>
      <c r="M45" t="s">
        <v>163</v>
      </c>
    </row>
    <row r="46" spans="1:13" x14ac:dyDescent="0.3">
      <c r="A46">
        <v>45</v>
      </c>
      <c r="B46" t="s">
        <v>43</v>
      </c>
      <c r="C46" t="s">
        <v>116</v>
      </c>
      <c r="D46" t="s">
        <v>128</v>
      </c>
      <c r="E46" t="s">
        <v>138</v>
      </c>
      <c r="F46" t="s">
        <v>148</v>
      </c>
      <c r="G46">
        <v>4</v>
      </c>
      <c r="H46">
        <v>164.78</v>
      </c>
      <c r="I46">
        <v>659.12</v>
      </c>
      <c r="J46" s="3">
        <v>45354</v>
      </c>
      <c r="K46">
        <v>2024</v>
      </c>
      <c r="L46">
        <v>3</v>
      </c>
      <c r="M46" t="s">
        <v>159</v>
      </c>
    </row>
    <row r="47" spans="1:13" x14ac:dyDescent="0.3">
      <c r="A47">
        <v>46</v>
      </c>
      <c r="B47" t="s">
        <v>50</v>
      </c>
      <c r="C47" t="s">
        <v>116</v>
      </c>
      <c r="D47" t="s">
        <v>128</v>
      </c>
      <c r="E47" t="s">
        <v>147</v>
      </c>
      <c r="F47" t="s">
        <v>150</v>
      </c>
      <c r="G47">
        <v>4</v>
      </c>
      <c r="H47">
        <v>179.21</v>
      </c>
      <c r="I47">
        <v>716.84</v>
      </c>
      <c r="J47" s="3">
        <v>45468</v>
      </c>
      <c r="K47">
        <v>2024</v>
      </c>
      <c r="L47">
        <v>6</v>
      </c>
      <c r="M47" t="s">
        <v>158</v>
      </c>
    </row>
    <row r="48" spans="1:13" x14ac:dyDescent="0.3">
      <c r="A48">
        <v>47</v>
      </c>
      <c r="B48" t="s">
        <v>51</v>
      </c>
      <c r="C48" t="s">
        <v>119</v>
      </c>
      <c r="D48" t="s">
        <v>135</v>
      </c>
      <c r="E48" t="s">
        <v>145</v>
      </c>
      <c r="F48" t="s">
        <v>152</v>
      </c>
      <c r="G48">
        <v>3</v>
      </c>
      <c r="H48">
        <v>174.36</v>
      </c>
      <c r="I48">
        <v>523.08000000000004</v>
      </c>
      <c r="J48" s="3">
        <v>45330</v>
      </c>
      <c r="K48">
        <v>2024</v>
      </c>
      <c r="L48">
        <v>2</v>
      </c>
      <c r="M48" t="s">
        <v>163</v>
      </c>
    </row>
    <row r="49" spans="1:13" x14ac:dyDescent="0.3">
      <c r="A49">
        <v>48</v>
      </c>
      <c r="B49" t="s">
        <v>52</v>
      </c>
      <c r="C49" t="s">
        <v>120</v>
      </c>
      <c r="D49" t="s">
        <v>127</v>
      </c>
      <c r="E49" t="s">
        <v>146</v>
      </c>
      <c r="F49" t="s">
        <v>153</v>
      </c>
      <c r="G49">
        <v>1</v>
      </c>
      <c r="H49">
        <v>28.33</v>
      </c>
      <c r="I49">
        <v>28.33</v>
      </c>
      <c r="J49" s="3">
        <v>45383</v>
      </c>
      <c r="K49">
        <v>2024</v>
      </c>
      <c r="L49">
        <v>4</v>
      </c>
      <c r="M49" t="s">
        <v>156</v>
      </c>
    </row>
    <row r="50" spans="1:13" x14ac:dyDescent="0.3">
      <c r="A50">
        <v>49</v>
      </c>
      <c r="B50" t="s">
        <v>53</v>
      </c>
      <c r="C50" t="s">
        <v>119</v>
      </c>
      <c r="D50" t="s">
        <v>136</v>
      </c>
      <c r="E50" t="s">
        <v>141</v>
      </c>
      <c r="F50" t="s">
        <v>149</v>
      </c>
      <c r="G50">
        <v>4</v>
      </c>
      <c r="H50">
        <v>101.78</v>
      </c>
      <c r="I50">
        <v>407.12</v>
      </c>
      <c r="J50" s="3">
        <v>45396</v>
      </c>
      <c r="K50">
        <v>2024</v>
      </c>
      <c r="L50">
        <v>4</v>
      </c>
      <c r="M50" t="s">
        <v>156</v>
      </c>
    </row>
    <row r="51" spans="1:13" x14ac:dyDescent="0.3">
      <c r="A51">
        <v>50</v>
      </c>
      <c r="B51" t="s">
        <v>54</v>
      </c>
      <c r="C51" t="s">
        <v>116</v>
      </c>
      <c r="D51" t="s">
        <v>128</v>
      </c>
      <c r="E51" t="s">
        <v>139</v>
      </c>
      <c r="F51" t="s">
        <v>149</v>
      </c>
      <c r="G51">
        <v>3</v>
      </c>
      <c r="H51">
        <v>85.17</v>
      </c>
      <c r="I51">
        <v>255.51</v>
      </c>
      <c r="J51" s="3">
        <v>45530</v>
      </c>
      <c r="K51">
        <v>2024</v>
      </c>
      <c r="L51">
        <v>8</v>
      </c>
      <c r="M51" t="s">
        <v>154</v>
      </c>
    </row>
    <row r="52" spans="1:13" x14ac:dyDescent="0.3">
      <c r="A52">
        <v>51</v>
      </c>
      <c r="B52" t="s">
        <v>55</v>
      </c>
      <c r="C52" t="s">
        <v>117</v>
      </c>
      <c r="D52" t="s">
        <v>133</v>
      </c>
      <c r="E52" t="s">
        <v>144</v>
      </c>
      <c r="F52" t="s">
        <v>150</v>
      </c>
      <c r="G52">
        <v>2</v>
      </c>
      <c r="H52">
        <v>104.47</v>
      </c>
      <c r="I52">
        <v>208.94</v>
      </c>
      <c r="J52" s="3">
        <v>45393</v>
      </c>
      <c r="K52">
        <v>2024</v>
      </c>
      <c r="L52">
        <v>4</v>
      </c>
      <c r="M52" t="s">
        <v>156</v>
      </c>
    </row>
    <row r="53" spans="1:13" x14ac:dyDescent="0.3">
      <c r="A53">
        <v>52</v>
      </c>
      <c r="B53" t="s">
        <v>51</v>
      </c>
      <c r="C53" t="s">
        <v>120</v>
      </c>
      <c r="D53" t="s">
        <v>127</v>
      </c>
      <c r="E53" t="s">
        <v>143</v>
      </c>
      <c r="F53" t="s">
        <v>152</v>
      </c>
      <c r="G53">
        <v>5</v>
      </c>
      <c r="H53">
        <v>49.44</v>
      </c>
      <c r="I53">
        <v>247.2</v>
      </c>
      <c r="J53" s="3">
        <v>45541</v>
      </c>
      <c r="K53">
        <v>2024</v>
      </c>
      <c r="L53">
        <v>9</v>
      </c>
      <c r="M53" t="s">
        <v>155</v>
      </c>
    </row>
    <row r="54" spans="1:13" x14ac:dyDescent="0.3">
      <c r="A54">
        <v>53</v>
      </c>
      <c r="B54" t="s">
        <v>56</v>
      </c>
      <c r="C54" t="s">
        <v>120</v>
      </c>
      <c r="D54" t="s">
        <v>127</v>
      </c>
      <c r="E54" t="s">
        <v>145</v>
      </c>
      <c r="F54" t="s">
        <v>152</v>
      </c>
      <c r="G54">
        <v>5</v>
      </c>
      <c r="H54">
        <v>143.61000000000001</v>
      </c>
      <c r="I54">
        <v>718.05</v>
      </c>
      <c r="J54" s="3">
        <v>45378</v>
      </c>
      <c r="K54">
        <v>2024</v>
      </c>
      <c r="L54">
        <v>3</v>
      </c>
      <c r="M54" t="s">
        <v>159</v>
      </c>
    </row>
    <row r="55" spans="1:13" x14ac:dyDescent="0.3">
      <c r="A55">
        <v>54</v>
      </c>
      <c r="B55" t="s">
        <v>38</v>
      </c>
      <c r="C55" t="s">
        <v>118</v>
      </c>
      <c r="D55" t="s">
        <v>137</v>
      </c>
      <c r="E55" t="s">
        <v>139</v>
      </c>
      <c r="F55" t="s">
        <v>149</v>
      </c>
      <c r="G55">
        <v>2</v>
      </c>
      <c r="H55">
        <v>88.43</v>
      </c>
      <c r="I55">
        <v>176.86</v>
      </c>
      <c r="J55" s="3">
        <v>45574</v>
      </c>
      <c r="K55">
        <v>2024</v>
      </c>
      <c r="L55">
        <v>10</v>
      </c>
      <c r="M55" t="s">
        <v>162</v>
      </c>
    </row>
    <row r="56" spans="1:13" x14ac:dyDescent="0.3">
      <c r="A56">
        <v>55</v>
      </c>
      <c r="B56" t="s">
        <v>57</v>
      </c>
      <c r="C56" t="s">
        <v>116</v>
      </c>
      <c r="D56" t="s">
        <v>128</v>
      </c>
      <c r="E56" t="s">
        <v>145</v>
      </c>
      <c r="F56" t="s">
        <v>152</v>
      </c>
      <c r="G56">
        <v>5</v>
      </c>
      <c r="H56">
        <v>194.3</v>
      </c>
      <c r="I56">
        <v>971.5</v>
      </c>
      <c r="J56" s="3">
        <v>45425</v>
      </c>
      <c r="K56">
        <v>2024</v>
      </c>
      <c r="L56">
        <v>5</v>
      </c>
      <c r="M56" t="s">
        <v>157</v>
      </c>
    </row>
    <row r="57" spans="1:13" x14ac:dyDescent="0.3">
      <c r="A57">
        <v>56</v>
      </c>
      <c r="B57" t="s">
        <v>23</v>
      </c>
      <c r="C57" t="s">
        <v>117</v>
      </c>
      <c r="D57" t="s">
        <v>122</v>
      </c>
      <c r="E57" t="s">
        <v>141</v>
      </c>
      <c r="F57" t="s">
        <v>149</v>
      </c>
      <c r="G57">
        <v>4</v>
      </c>
      <c r="H57">
        <v>66.459999999999994</v>
      </c>
      <c r="I57">
        <v>265.83999999999997</v>
      </c>
      <c r="J57" s="3">
        <v>45464</v>
      </c>
      <c r="K57">
        <v>2024</v>
      </c>
      <c r="L57">
        <v>6</v>
      </c>
      <c r="M57" t="s">
        <v>158</v>
      </c>
    </row>
    <row r="58" spans="1:13" x14ac:dyDescent="0.3">
      <c r="A58">
        <v>57</v>
      </c>
      <c r="B58" t="s">
        <v>58</v>
      </c>
      <c r="C58" t="s">
        <v>119</v>
      </c>
      <c r="D58" t="s">
        <v>130</v>
      </c>
      <c r="E58" t="s">
        <v>138</v>
      </c>
      <c r="F58" t="s">
        <v>148</v>
      </c>
      <c r="G58">
        <v>4</v>
      </c>
      <c r="H58">
        <v>126.1</v>
      </c>
      <c r="I58">
        <v>504.4</v>
      </c>
      <c r="J58" s="3">
        <v>45366</v>
      </c>
      <c r="K58">
        <v>2024</v>
      </c>
      <c r="L58">
        <v>3</v>
      </c>
      <c r="M58" t="s">
        <v>159</v>
      </c>
    </row>
    <row r="59" spans="1:13" x14ac:dyDescent="0.3">
      <c r="A59">
        <v>58</v>
      </c>
      <c r="B59" t="s">
        <v>59</v>
      </c>
      <c r="C59" t="s">
        <v>117</v>
      </c>
      <c r="D59" t="s">
        <v>122</v>
      </c>
      <c r="E59" t="s">
        <v>140</v>
      </c>
      <c r="F59" t="s">
        <v>150</v>
      </c>
      <c r="G59">
        <v>2</v>
      </c>
      <c r="H59">
        <v>146.78</v>
      </c>
      <c r="I59">
        <v>293.56</v>
      </c>
      <c r="J59" s="3">
        <v>45592</v>
      </c>
      <c r="K59">
        <v>2024</v>
      </c>
      <c r="L59">
        <v>10</v>
      </c>
      <c r="M59" t="s">
        <v>162</v>
      </c>
    </row>
    <row r="60" spans="1:13" x14ac:dyDescent="0.3">
      <c r="A60">
        <v>59</v>
      </c>
      <c r="B60" t="s">
        <v>43</v>
      </c>
      <c r="C60" t="s">
        <v>116</v>
      </c>
      <c r="D60" t="s">
        <v>128</v>
      </c>
      <c r="E60" t="s">
        <v>142</v>
      </c>
      <c r="F60" t="s">
        <v>151</v>
      </c>
      <c r="G60">
        <v>3</v>
      </c>
      <c r="H60">
        <v>122.06</v>
      </c>
      <c r="I60">
        <v>366.18</v>
      </c>
      <c r="J60" s="3">
        <v>45378</v>
      </c>
      <c r="K60">
        <v>2024</v>
      </c>
      <c r="L60">
        <v>3</v>
      </c>
      <c r="M60" t="s">
        <v>159</v>
      </c>
    </row>
    <row r="61" spans="1:13" x14ac:dyDescent="0.3">
      <c r="A61">
        <v>60</v>
      </c>
      <c r="B61" t="s">
        <v>60</v>
      </c>
      <c r="C61" t="s">
        <v>117</v>
      </c>
      <c r="D61" t="s">
        <v>122</v>
      </c>
      <c r="E61" t="s">
        <v>146</v>
      </c>
      <c r="F61" t="s">
        <v>153</v>
      </c>
      <c r="G61">
        <v>2</v>
      </c>
      <c r="H61">
        <v>197.16</v>
      </c>
      <c r="I61">
        <v>394.32</v>
      </c>
      <c r="J61" s="3">
        <v>45384</v>
      </c>
      <c r="K61">
        <v>2024</v>
      </c>
      <c r="L61">
        <v>4</v>
      </c>
      <c r="M61" t="s">
        <v>156</v>
      </c>
    </row>
    <row r="62" spans="1:13" x14ac:dyDescent="0.3">
      <c r="A62">
        <v>61</v>
      </c>
      <c r="B62" t="s">
        <v>61</v>
      </c>
      <c r="C62" t="s">
        <v>117</v>
      </c>
      <c r="D62" t="s">
        <v>122</v>
      </c>
      <c r="E62" t="s">
        <v>139</v>
      </c>
      <c r="F62" t="s">
        <v>149</v>
      </c>
      <c r="G62">
        <v>2</v>
      </c>
      <c r="H62">
        <v>173.87</v>
      </c>
      <c r="I62">
        <v>347.74</v>
      </c>
      <c r="J62" s="3">
        <v>45537</v>
      </c>
      <c r="K62">
        <v>2024</v>
      </c>
      <c r="L62">
        <v>9</v>
      </c>
      <c r="M62" t="s">
        <v>155</v>
      </c>
    </row>
    <row r="63" spans="1:13" x14ac:dyDescent="0.3">
      <c r="A63">
        <v>62</v>
      </c>
      <c r="B63" t="s">
        <v>62</v>
      </c>
      <c r="C63" t="s">
        <v>117</v>
      </c>
      <c r="D63" t="s">
        <v>133</v>
      </c>
      <c r="E63" t="s">
        <v>139</v>
      </c>
      <c r="F63" t="s">
        <v>149</v>
      </c>
      <c r="G63">
        <v>5</v>
      </c>
      <c r="H63">
        <v>158.94</v>
      </c>
      <c r="I63">
        <v>794.7</v>
      </c>
      <c r="J63" s="3">
        <v>45483</v>
      </c>
      <c r="K63">
        <v>2024</v>
      </c>
      <c r="L63">
        <v>7</v>
      </c>
      <c r="M63" t="s">
        <v>160</v>
      </c>
    </row>
    <row r="64" spans="1:13" x14ac:dyDescent="0.3">
      <c r="A64">
        <v>63</v>
      </c>
      <c r="B64" t="s">
        <v>63</v>
      </c>
      <c r="C64" t="s">
        <v>119</v>
      </c>
      <c r="D64" t="s">
        <v>136</v>
      </c>
      <c r="E64" t="s">
        <v>141</v>
      </c>
      <c r="F64" t="s">
        <v>149</v>
      </c>
      <c r="G64">
        <v>2</v>
      </c>
      <c r="H64">
        <v>189.21</v>
      </c>
      <c r="I64">
        <v>378.42</v>
      </c>
      <c r="J64" s="3">
        <v>45518</v>
      </c>
      <c r="K64">
        <v>2024</v>
      </c>
      <c r="L64">
        <v>8</v>
      </c>
      <c r="M64" t="s">
        <v>154</v>
      </c>
    </row>
    <row r="65" spans="1:13" x14ac:dyDescent="0.3">
      <c r="A65">
        <v>64</v>
      </c>
      <c r="B65" t="s">
        <v>64</v>
      </c>
      <c r="C65" t="s">
        <v>117</v>
      </c>
      <c r="D65" t="s">
        <v>122</v>
      </c>
      <c r="E65" t="s">
        <v>146</v>
      </c>
      <c r="F65" t="s">
        <v>153</v>
      </c>
      <c r="G65">
        <v>4</v>
      </c>
      <c r="H65">
        <v>169.46</v>
      </c>
      <c r="I65">
        <v>677.84</v>
      </c>
      <c r="J65" s="3">
        <v>45481</v>
      </c>
      <c r="K65">
        <v>2024</v>
      </c>
      <c r="L65">
        <v>7</v>
      </c>
      <c r="M65" t="s">
        <v>160</v>
      </c>
    </row>
    <row r="66" spans="1:13" x14ac:dyDescent="0.3">
      <c r="A66">
        <v>65</v>
      </c>
      <c r="B66" t="s">
        <v>65</v>
      </c>
      <c r="C66" t="s">
        <v>120</v>
      </c>
      <c r="D66" t="s">
        <v>134</v>
      </c>
      <c r="E66" t="s">
        <v>145</v>
      </c>
      <c r="F66" t="s">
        <v>152</v>
      </c>
      <c r="G66">
        <v>1</v>
      </c>
      <c r="H66">
        <v>137.55000000000001</v>
      </c>
      <c r="I66">
        <v>137.55000000000001</v>
      </c>
      <c r="J66" s="3">
        <v>45569</v>
      </c>
      <c r="K66">
        <v>2024</v>
      </c>
      <c r="L66">
        <v>10</v>
      </c>
      <c r="M66" t="s">
        <v>162</v>
      </c>
    </row>
    <row r="67" spans="1:13" x14ac:dyDescent="0.3">
      <c r="A67">
        <v>66</v>
      </c>
      <c r="B67" t="s">
        <v>66</v>
      </c>
      <c r="C67" t="s">
        <v>119</v>
      </c>
      <c r="D67" t="s">
        <v>136</v>
      </c>
      <c r="E67" t="s">
        <v>140</v>
      </c>
      <c r="F67" t="s">
        <v>150</v>
      </c>
      <c r="G67">
        <v>3</v>
      </c>
      <c r="H67">
        <v>127.15</v>
      </c>
      <c r="I67">
        <v>381.45</v>
      </c>
      <c r="J67" s="3">
        <v>45307</v>
      </c>
      <c r="K67">
        <v>2024</v>
      </c>
      <c r="L67">
        <v>1</v>
      </c>
      <c r="M67" t="s">
        <v>161</v>
      </c>
    </row>
    <row r="68" spans="1:13" x14ac:dyDescent="0.3">
      <c r="A68">
        <v>67</v>
      </c>
      <c r="B68" t="s">
        <v>67</v>
      </c>
      <c r="C68" t="s">
        <v>118</v>
      </c>
      <c r="D68" t="s">
        <v>123</v>
      </c>
      <c r="E68" t="s">
        <v>139</v>
      </c>
      <c r="F68" t="s">
        <v>149</v>
      </c>
      <c r="G68">
        <v>5</v>
      </c>
      <c r="H68">
        <v>56.1</v>
      </c>
      <c r="I68">
        <v>280.5</v>
      </c>
      <c r="J68" s="3">
        <v>45591</v>
      </c>
      <c r="K68">
        <v>2024</v>
      </c>
      <c r="L68">
        <v>10</v>
      </c>
      <c r="M68" t="s">
        <v>162</v>
      </c>
    </row>
    <row r="69" spans="1:13" x14ac:dyDescent="0.3">
      <c r="A69">
        <v>68</v>
      </c>
      <c r="B69" t="s">
        <v>67</v>
      </c>
      <c r="C69" t="s">
        <v>119</v>
      </c>
      <c r="D69" t="s">
        <v>132</v>
      </c>
      <c r="E69" t="s">
        <v>141</v>
      </c>
      <c r="F69" t="s">
        <v>149</v>
      </c>
      <c r="G69">
        <v>3</v>
      </c>
      <c r="H69">
        <v>17.239999999999998</v>
      </c>
      <c r="I69">
        <v>51.72</v>
      </c>
      <c r="J69" s="3">
        <v>45441</v>
      </c>
      <c r="K69">
        <v>2024</v>
      </c>
      <c r="L69">
        <v>5</v>
      </c>
      <c r="M69" t="s">
        <v>157</v>
      </c>
    </row>
    <row r="70" spans="1:13" x14ac:dyDescent="0.3">
      <c r="A70">
        <v>69</v>
      </c>
      <c r="B70" t="s">
        <v>21</v>
      </c>
      <c r="C70" t="s">
        <v>118</v>
      </c>
      <c r="D70" t="s">
        <v>137</v>
      </c>
      <c r="E70" t="s">
        <v>143</v>
      </c>
      <c r="F70" t="s">
        <v>152</v>
      </c>
      <c r="G70">
        <v>4</v>
      </c>
      <c r="H70">
        <v>31.34</v>
      </c>
      <c r="I70">
        <v>125.36</v>
      </c>
      <c r="J70" s="3">
        <v>45585</v>
      </c>
      <c r="K70">
        <v>2024</v>
      </c>
      <c r="L70">
        <v>10</v>
      </c>
      <c r="M70" t="s">
        <v>162</v>
      </c>
    </row>
    <row r="71" spans="1:13" x14ac:dyDescent="0.3">
      <c r="A71">
        <v>70</v>
      </c>
      <c r="B71" t="s">
        <v>66</v>
      </c>
      <c r="C71" t="s">
        <v>119</v>
      </c>
      <c r="D71" t="s">
        <v>136</v>
      </c>
      <c r="E71" t="s">
        <v>146</v>
      </c>
      <c r="F71" t="s">
        <v>153</v>
      </c>
      <c r="G71">
        <v>3</v>
      </c>
      <c r="H71">
        <v>192.22</v>
      </c>
      <c r="I71">
        <v>576.66</v>
      </c>
      <c r="J71" s="3">
        <v>45387</v>
      </c>
      <c r="K71">
        <v>2024</v>
      </c>
      <c r="L71">
        <v>4</v>
      </c>
      <c r="M71" t="s">
        <v>156</v>
      </c>
    </row>
    <row r="72" spans="1:13" x14ac:dyDescent="0.3">
      <c r="A72">
        <v>71</v>
      </c>
      <c r="B72" t="s">
        <v>68</v>
      </c>
      <c r="C72" t="s">
        <v>119</v>
      </c>
      <c r="D72" t="s">
        <v>125</v>
      </c>
      <c r="E72" t="s">
        <v>138</v>
      </c>
      <c r="F72" t="s">
        <v>148</v>
      </c>
      <c r="G72">
        <v>2</v>
      </c>
      <c r="H72">
        <v>45.29</v>
      </c>
      <c r="I72">
        <v>90.58</v>
      </c>
      <c r="J72" s="3">
        <v>45327</v>
      </c>
      <c r="K72">
        <v>2024</v>
      </c>
      <c r="L72">
        <v>2</v>
      </c>
      <c r="M72" t="s">
        <v>163</v>
      </c>
    </row>
    <row r="73" spans="1:13" x14ac:dyDescent="0.3">
      <c r="A73">
        <v>72</v>
      </c>
      <c r="B73" t="s">
        <v>69</v>
      </c>
      <c r="C73" t="s">
        <v>119</v>
      </c>
      <c r="D73" t="s">
        <v>136</v>
      </c>
      <c r="E73" t="s">
        <v>147</v>
      </c>
      <c r="F73" t="s">
        <v>150</v>
      </c>
      <c r="G73">
        <v>4</v>
      </c>
      <c r="H73">
        <v>84.62</v>
      </c>
      <c r="I73">
        <v>338.48</v>
      </c>
      <c r="J73" s="3">
        <v>45404</v>
      </c>
      <c r="K73">
        <v>2024</v>
      </c>
      <c r="L73">
        <v>4</v>
      </c>
      <c r="M73" t="s">
        <v>156</v>
      </c>
    </row>
    <row r="74" spans="1:13" x14ac:dyDescent="0.3">
      <c r="A74">
        <v>73</v>
      </c>
      <c r="B74" t="s">
        <v>70</v>
      </c>
      <c r="C74" t="s">
        <v>119</v>
      </c>
      <c r="D74" t="s">
        <v>132</v>
      </c>
      <c r="E74" t="s">
        <v>142</v>
      </c>
      <c r="F74" t="s">
        <v>151</v>
      </c>
      <c r="G74">
        <v>5</v>
      </c>
      <c r="H74">
        <v>39.9</v>
      </c>
      <c r="I74">
        <v>199.5</v>
      </c>
      <c r="J74" s="3">
        <v>45329</v>
      </c>
      <c r="K74">
        <v>2024</v>
      </c>
      <c r="L74">
        <v>2</v>
      </c>
      <c r="M74" t="s">
        <v>163</v>
      </c>
    </row>
    <row r="75" spans="1:13" x14ac:dyDescent="0.3">
      <c r="A75">
        <v>74</v>
      </c>
      <c r="B75" t="s">
        <v>71</v>
      </c>
      <c r="C75" t="s">
        <v>120</v>
      </c>
      <c r="D75" t="s">
        <v>127</v>
      </c>
      <c r="E75" t="s">
        <v>144</v>
      </c>
      <c r="F75" t="s">
        <v>150</v>
      </c>
      <c r="G75">
        <v>3</v>
      </c>
      <c r="H75">
        <v>145.62</v>
      </c>
      <c r="I75">
        <v>436.86</v>
      </c>
      <c r="J75" s="3">
        <v>45383</v>
      </c>
      <c r="K75">
        <v>2024</v>
      </c>
      <c r="L75">
        <v>4</v>
      </c>
      <c r="M75" t="s">
        <v>156</v>
      </c>
    </row>
    <row r="76" spans="1:13" x14ac:dyDescent="0.3">
      <c r="A76">
        <v>75</v>
      </c>
      <c r="B76" t="s">
        <v>72</v>
      </c>
      <c r="C76" t="s">
        <v>119</v>
      </c>
      <c r="D76" t="s">
        <v>136</v>
      </c>
      <c r="E76" t="s">
        <v>141</v>
      </c>
      <c r="F76" t="s">
        <v>149</v>
      </c>
      <c r="G76">
        <v>1</v>
      </c>
      <c r="H76">
        <v>72.14</v>
      </c>
      <c r="I76">
        <v>72.14</v>
      </c>
      <c r="J76" s="3">
        <v>45398</v>
      </c>
      <c r="K76">
        <v>2024</v>
      </c>
      <c r="L76">
        <v>4</v>
      </c>
      <c r="M76" t="s">
        <v>156</v>
      </c>
    </row>
    <row r="77" spans="1:13" x14ac:dyDescent="0.3">
      <c r="A77">
        <v>76</v>
      </c>
      <c r="B77" t="s">
        <v>73</v>
      </c>
      <c r="C77" t="s">
        <v>120</v>
      </c>
      <c r="D77" t="s">
        <v>127</v>
      </c>
      <c r="E77" t="s">
        <v>146</v>
      </c>
      <c r="F77" t="s">
        <v>153</v>
      </c>
      <c r="G77">
        <v>4</v>
      </c>
      <c r="H77">
        <v>188</v>
      </c>
      <c r="I77">
        <v>752</v>
      </c>
      <c r="J77" s="3">
        <v>45369</v>
      </c>
      <c r="K77">
        <v>2024</v>
      </c>
      <c r="L77">
        <v>3</v>
      </c>
      <c r="M77" t="s">
        <v>159</v>
      </c>
    </row>
    <row r="78" spans="1:13" x14ac:dyDescent="0.3">
      <c r="A78">
        <v>77</v>
      </c>
      <c r="B78" t="s">
        <v>74</v>
      </c>
      <c r="C78" t="s">
        <v>116</v>
      </c>
      <c r="D78" t="s">
        <v>121</v>
      </c>
      <c r="E78" t="s">
        <v>141</v>
      </c>
      <c r="F78" t="s">
        <v>149</v>
      </c>
      <c r="G78">
        <v>2</v>
      </c>
      <c r="H78">
        <v>14.36</v>
      </c>
      <c r="I78">
        <v>28.72</v>
      </c>
      <c r="J78" s="3">
        <v>45321</v>
      </c>
      <c r="K78">
        <v>2024</v>
      </c>
      <c r="L78">
        <v>1</v>
      </c>
      <c r="M78" t="s">
        <v>161</v>
      </c>
    </row>
    <row r="79" spans="1:13" x14ac:dyDescent="0.3">
      <c r="A79">
        <v>78</v>
      </c>
      <c r="B79" t="s">
        <v>75</v>
      </c>
      <c r="C79" t="s">
        <v>116</v>
      </c>
      <c r="D79" t="s">
        <v>126</v>
      </c>
      <c r="E79" t="s">
        <v>139</v>
      </c>
      <c r="F79" t="s">
        <v>149</v>
      </c>
      <c r="G79">
        <v>3</v>
      </c>
      <c r="H79">
        <v>53.11</v>
      </c>
      <c r="I79">
        <v>159.33000000000001</v>
      </c>
      <c r="J79" s="3">
        <v>45293</v>
      </c>
      <c r="K79">
        <v>2024</v>
      </c>
      <c r="L79">
        <v>1</v>
      </c>
      <c r="M79" t="s">
        <v>161</v>
      </c>
    </row>
    <row r="80" spans="1:13" x14ac:dyDescent="0.3">
      <c r="A80">
        <v>79</v>
      </c>
      <c r="B80" t="s">
        <v>76</v>
      </c>
      <c r="C80" t="s">
        <v>116</v>
      </c>
      <c r="D80" t="s">
        <v>121</v>
      </c>
      <c r="E80" t="s">
        <v>141</v>
      </c>
      <c r="F80" t="s">
        <v>149</v>
      </c>
      <c r="G80">
        <v>2</v>
      </c>
      <c r="H80">
        <v>152.86000000000001</v>
      </c>
      <c r="I80">
        <v>305.72000000000003</v>
      </c>
      <c r="J80" s="3">
        <v>45494</v>
      </c>
      <c r="K80">
        <v>2024</v>
      </c>
      <c r="L80">
        <v>7</v>
      </c>
      <c r="M80" t="s">
        <v>160</v>
      </c>
    </row>
    <row r="81" spans="1:13" x14ac:dyDescent="0.3">
      <c r="A81">
        <v>80</v>
      </c>
      <c r="B81" t="s">
        <v>77</v>
      </c>
      <c r="C81" t="s">
        <v>119</v>
      </c>
      <c r="D81" t="s">
        <v>125</v>
      </c>
      <c r="E81" t="s">
        <v>138</v>
      </c>
      <c r="F81" t="s">
        <v>148</v>
      </c>
      <c r="G81">
        <v>2</v>
      </c>
      <c r="H81">
        <v>109.24</v>
      </c>
      <c r="I81">
        <v>218.48</v>
      </c>
      <c r="J81" s="3">
        <v>45488</v>
      </c>
      <c r="K81">
        <v>2024</v>
      </c>
      <c r="L81">
        <v>7</v>
      </c>
      <c r="M81" t="s">
        <v>160</v>
      </c>
    </row>
    <row r="82" spans="1:13" x14ac:dyDescent="0.3">
      <c r="A82">
        <v>81</v>
      </c>
      <c r="B82" t="s">
        <v>78</v>
      </c>
      <c r="C82" t="s">
        <v>117</v>
      </c>
      <c r="D82" t="s">
        <v>122</v>
      </c>
      <c r="E82" t="s">
        <v>143</v>
      </c>
      <c r="F82" t="s">
        <v>152</v>
      </c>
      <c r="G82">
        <v>5</v>
      </c>
      <c r="H82">
        <v>175.63</v>
      </c>
      <c r="I82">
        <v>878.15</v>
      </c>
      <c r="J82" s="3">
        <v>45464</v>
      </c>
      <c r="K82">
        <v>2024</v>
      </c>
      <c r="L82">
        <v>6</v>
      </c>
      <c r="M82" t="s">
        <v>158</v>
      </c>
    </row>
    <row r="83" spans="1:13" x14ac:dyDescent="0.3">
      <c r="A83">
        <v>82</v>
      </c>
      <c r="B83" t="s">
        <v>79</v>
      </c>
      <c r="C83" t="s">
        <v>116</v>
      </c>
      <c r="D83" t="s">
        <v>126</v>
      </c>
      <c r="E83" t="s">
        <v>146</v>
      </c>
      <c r="F83" t="s">
        <v>153</v>
      </c>
      <c r="G83">
        <v>3</v>
      </c>
      <c r="H83">
        <v>36.75</v>
      </c>
      <c r="I83">
        <v>110.25</v>
      </c>
      <c r="J83" s="3">
        <v>45392</v>
      </c>
      <c r="K83">
        <v>2024</v>
      </c>
      <c r="L83">
        <v>4</v>
      </c>
      <c r="M83" t="s">
        <v>156</v>
      </c>
    </row>
    <row r="84" spans="1:13" x14ac:dyDescent="0.3">
      <c r="A84">
        <v>83</v>
      </c>
      <c r="B84" t="s">
        <v>80</v>
      </c>
      <c r="C84" t="s">
        <v>119</v>
      </c>
      <c r="D84" t="s">
        <v>135</v>
      </c>
      <c r="E84" t="s">
        <v>138</v>
      </c>
      <c r="F84" t="s">
        <v>148</v>
      </c>
      <c r="G84">
        <v>4</v>
      </c>
      <c r="H84">
        <v>10.11</v>
      </c>
      <c r="I84">
        <v>40.44</v>
      </c>
      <c r="J84" s="3">
        <v>45521</v>
      </c>
      <c r="K84">
        <v>2024</v>
      </c>
      <c r="L84">
        <v>8</v>
      </c>
      <c r="M84" t="s">
        <v>154</v>
      </c>
    </row>
    <row r="85" spans="1:13" x14ac:dyDescent="0.3">
      <c r="A85">
        <v>84</v>
      </c>
      <c r="B85" t="s">
        <v>73</v>
      </c>
      <c r="C85" t="s">
        <v>118</v>
      </c>
      <c r="D85" t="s">
        <v>137</v>
      </c>
      <c r="E85" t="s">
        <v>138</v>
      </c>
      <c r="F85" t="s">
        <v>148</v>
      </c>
      <c r="G85">
        <v>5</v>
      </c>
      <c r="H85">
        <v>170.4</v>
      </c>
      <c r="I85">
        <v>852</v>
      </c>
      <c r="J85" s="3">
        <v>45355</v>
      </c>
      <c r="K85">
        <v>2024</v>
      </c>
      <c r="L85">
        <v>3</v>
      </c>
      <c r="M85" t="s">
        <v>159</v>
      </c>
    </row>
    <row r="86" spans="1:13" x14ac:dyDescent="0.3">
      <c r="A86">
        <v>85</v>
      </c>
      <c r="B86" t="s">
        <v>81</v>
      </c>
      <c r="C86" t="s">
        <v>120</v>
      </c>
      <c r="D86" t="s">
        <v>127</v>
      </c>
      <c r="E86" t="s">
        <v>145</v>
      </c>
      <c r="F86" t="s">
        <v>152</v>
      </c>
      <c r="G86">
        <v>5</v>
      </c>
      <c r="H86">
        <v>178.91</v>
      </c>
      <c r="I86">
        <v>894.55</v>
      </c>
      <c r="J86" s="3">
        <v>45550</v>
      </c>
      <c r="K86">
        <v>2024</v>
      </c>
      <c r="L86">
        <v>9</v>
      </c>
      <c r="M86" t="s">
        <v>155</v>
      </c>
    </row>
    <row r="87" spans="1:13" x14ac:dyDescent="0.3">
      <c r="A87">
        <v>86</v>
      </c>
      <c r="B87" t="s">
        <v>82</v>
      </c>
      <c r="C87" t="s">
        <v>118</v>
      </c>
      <c r="D87" t="s">
        <v>137</v>
      </c>
      <c r="E87" t="s">
        <v>146</v>
      </c>
      <c r="F87" t="s">
        <v>153</v>
      </c>
      <c r="G87">
        <v>1</v>
      </c>
      <c r="H87">
        <v>75.39</v>
      </c>
      <c r="I87">
        <v>75.39</v>
      </c>
      <c r="J87" s="3">
        <v>45412</v>
      </c>
      <c r="K87">
        <v>2024</v>
      </c>
      <c r="L87">
        <v>4</v>
      </c>
      <c r="M87" t="s">
        <v>156</v>
      </c>
    </row>
    <row r="88" spans="1:13" x14ac:dyDescent="0.3">
      <c r="A88">
        <v>87</v>
      </c>
      <c r="B88" t="s">
        <v>83</v>
      </c>
      <c r="C88" t="s">
        <v>119</v>
      </c>
      <c r="D88" t="s">
        <v>136</v>
      </c>
      <c r="E88" t="s">
        <v>142</v>
      </c>
      <c r="F88" t="s">
        <v>151</v>
      </c>
      <c r="G88">
        <v>1</v>
      </c>
      <c r="H88">
        <v>196.71</v>
      </c>
      <c r="I88">
        <v>196.71</v>
      </c>
      <c r="J88" s="3">
        <v>45372</v>
      </c>
      <c r="K88">
        <v>2024</v>
      </c>
      <c r="L88">
        <v>3</v>
      </c>
      <c r="M88" t="s">
        <v>159</v>
      </c>
    </row>
    <row r="89" spans="1:13" x14ac:dyDescent="0.3">
      <c r="A89">
        <v>88</v>
      </c>
      <c r="B89" t="s">
        <v>84</v>
      </c>
      <c r="C89" t="s">
        <v>117</v>
      </c>
      <c r="D89" t="s">
        <v>122</v>
      </c>
      <c r="E89" t="s">
        <v>145</v>
      </c>
      <c r="F89" t="s">
        <v>152</v>
      </c>
      <c r="G89">
        <v>4</v>
      </c>
      <c r="H89">
        <v>195.23</v>
      </c>
      <c r="I89">
        <v>780.92</v>
      </c>
      <c r="J89" s="3">
        <v>45430</v>
      </c>
      <c r="K89">
        <v>2024</v>
      </c>
      <c r="L89">
        <v>5</v>
      </c>
      <c r="M89" t="s">
        <v>157</v>
      </c>
    </row>
    <row r="90" spans="1:13" x14ac:dyDescent="0.3">
      <c r="A90">
        <v>89</v>
      </c>
      <c r="B90" t="s">
        <v>49</v>
      </c>
      <c r="C90" t="s">
        <v>119</v>
      </c>
      <c r="D90" t="s">
        <v>136</v>
      </c>
      <c r="E90" t="s">
        <v>141</v>
      </c>
      <c r="F90" t="s">
        <v>149</v>
      </c>
      <c r="G90">
        <v>5</v>
      </c>
      <c r="H90">
        <v>123.78</v>
      </c>
      <c r="I90">
        <v>618.9</v>
      </c>
      <c r="J90" s="3">
        <v>45319</v>
      </c>
      <c r="K90">
        <v>2024</v>
      </c>
      <c r="L90">
        <v>1</v>
      </c>
      <c r="M90" t="s">
        <v>161</v>
      </c>
    </row>
    <row r="91" spans="1:13" x14ac:dyDescent="0.3">
      <c r="A91">
        <v>90</v>
      </c>
      <c r="B91" t="s">
        <v>85</v>
      </c>
      <c r="C91" t="s">
        <v>117</v>
      </c>
      <c r="D91" t="s">
        <v>122</v>
      </c>
      <c r="E91" t="s">
        <v>145</v>
      </c>
      <c r="F91" t="s">
        <v>152</v>
      </c>
      <c r="G91">
        <v>1</v>
      </c>
      <c r="H91">
        <v>149.19999999999999</v>
      </c>
      <c r="I91">
        <v>149.19999999999999</v>
      </c>
      <c r="J91" s="3">
        <v>45431</v>
      </c>
      <c r="K91">
        <v>2024</v>
      </c>
      <c r="L91">
        <v>5</v>
      </c>
      <c r="M91" t="s">
        <v>157</v>
      </c>
    </row>
    <row r="92" spans="1:13" x14ac:dyDescent="0.3">
      <c r="A92">
        <v>91</v>
      </c>
      <c r="B92" t="s">
        <v>86</v>
      </c>
      <c r="C92" t="s">
        <v>119</v>
      </c>
      <c r="D92" t="s">
        <v>125</v>
      </c>
      <c r="E92" t="s">
        <v>141</v>
      </c>
      <c r="F92" t="s">
        <v>149</v>
      </c>
      <c r="G92">
        <v>1</v>
      </c>
      <c r="H92">
        <v>158.02000000000001</v>
      </c>
      <c r="I92">
        <v>158.02000000000001</v>
      </c>
      <c r="J92" s="3">
        <v>45402</v>
      </c>
      <c r="K92">
        <v>2024</v>
      </c>
      <c r="L92">
        <v>4</v>
      </c>
      <c r="M92" t="s">
        <v>156</v>
      </c>
    </row>
    <row r="93" spans="1:13" x14ac:dyDescent="0.3">
      <c r="A93">
        <v>92</v>
      </c>
      <c r="B93" t="s">
        <v>87</v>
      </c>
      <c r="C93" t="s">
        <v>118</v>
      </c>
      <c r="D93" t="s">
        <v>124</v>
      </c>
      <c r="E93" t="s">
        <v>142</v>
      </c>
      <c r="F93" t="s">
        <v>151</v>
      </c>
      <c r="G93">
        <v>5</v>
      </c>
      <c r="H93">
        <v>101.81</v>
      </c>
      <c r="I93">
        <v>509.05</v>
      </c>
      <c r="J93" s="3">
        <v>45395</v>
      </c>
      <c r="K93">
        <v>2024</v>
      </c>
      <c r="L93">
        <v>4</v>
      </c>
      <c r="M93" t="s">
        <v>156</v>
      </c>
    </row>
    <row r="94" spans="1:13" x14ac:dyDescent="0.3">
      <c r="A94">
        <v>93</v>
      </c>
      <c r="B94" t="s">
        <v>31</v>
      </c>
      <c r="C94" t="s">
        <v>119</v>
      </c>
      <c r="D94" t="s">
        <v>132</v>
      </c>
      <c r="E94" t="s">
        <v>145</v>
      </c>
      <c r="F94" t="s">
        <v>152</v>
      </c>
      <c r="G94">
        <v>3</v>
      </c>
      <c r="H94">
        <v>39.35</v>
      </c>
      <c r="I94">
        <v>118.05</v>
      </c>
      <c r="J94" s="3">
        <v>45582</v>
      </c>
      <c r="K94">
        <v>2024</v>
      </c>
      <c r="L94">
        <v>10</v>
      </c>
      <c r="M94" t="s">
        <v>162</v>
      </c>
    </row>
    <row r="95" spans="1:13" x14ac:dyDescent="0.3">
      <c r="A95">
        <v>94</v>
      </c>
      <c r="B95" t="s">
        <v>88</v>
      </c>
      <c r="C95" t="s">
        <v>116</v>
      </c>
      <c r="D95" t="s">
        <v>121</v>
      </c>
      <c r="E95" t="s">
        <v>140</v>
      </c>
      <c r="F95" t="s">
        <v>150</v>
      </c>
      <c r="G95">
        <v>4</v>
      </c>
      <c r="H95">
        <v>126.71</v>
      </c>
      <c r="I95">
        <v>506.84</v>
      </c>
      <c r="J95" s="3">
        <v>45351</v>
      </c>
      <c r="K95">
        <v>2024</v>
      </c>
      <c r="L95">
        <v>2</v>
      </c>
      <c r="M95" t="s">
        <v>163</v>
      </c>
    </row>
    <row r="96" spans="1:13" x14ac:dyDescent="0.3">
      <c r="A96">
        <v>95</v>
      </c>
      <c r="B96" t="s">
        <v>89</v>
      </c>
      <c r="C96" t="s">
        <v>118</v>
      </c>
      <c r="D96" t="s">
        <v>124</v>
      </c>
      <c r="E96" t="s">
        <v>147</v>
      </c>
      <c r="F96" t="s">
        <v>150</v>
      </c>
      <c r="G96">
        <v>2</v>
      </c>
      <c r="H96">
        <v>82.1</v>
      </c>
      <c r="I96">
        <v>164.2</v>
      </c>
      <c r="J96" s="3">
        <v>45497</v>
      </c>
      <c r="K96">
        <v>2024</v>
      </c>
      <c r="L96">
        <v>7</v>
      </c>
      <c r="M96" t="s">
        <v>160</v>
      </c>
    </row>
    <row r="97" spans="1:13" x14ac:dyDescent="0.3">
      <c r="A97">
        <v>96</v>
      </c>
      <c r="B97" t="s">
        <v>90</v>
      </c>
      <c r="C97" t="s">
        <v>119</v>
      </c>
      <c r="D97" t="s">
        <v>135</v>
      </c>
      <c r="E97" t="s">
        <v>146</v>
      </c>
      <c r="F97" t="s">
        <v>153</v>
      </c>
      <c r="G97">
        <v>4</v>
      </c>
      <c r="H97">
        <v>118.23</v>
      </c>
      <c r="I97">
        <v>472.92</v>
      </c>
      <c r="J97" s="3">
        <v>45327</v>
      </c>
      <c r="K97">
        <v>2024</v>
      </c>
      <c r="L97">
        <v>2</v>
      </c>
      <c r="M97" t="s">
        <v>163</v>
      </c>
    </row>
    <row r="98" spans="1:13" x14ac:dyDescent="0.3">
      <c r="A98">
        <v>97</v>
      </c>
      <c r="B98" t="s">
        <v>91</v>
      </c>
      <c r="C98" t="s">
        <v>120</v>
      </c>
      <c r="D98" t="s">
        <v>134</v>
      </c>
      <c r="E98" t="s">
        <v>147</v>
      </c>
      <c r="F98" t="s">
        <v>150</v>
      </c>
      <c r="G98">
        <v>3</v>
      </c>
      <c r="H98">
        <v>175.11</v>
      </c>
      <c r="I98">
        <v>525.33000000000004</v>
      </c>
      <c r="J98" s="3">
        <v>45376</v>
      </c>
      <c r="K98">
        <v>2024</v>
      </c>
      <c r="L98">
        <v>3</v>
      </c>
      <c r="M98" t="s">
        <v>159</v>
      </c>
    </row>
    <row r="99" spans="1:13" x14ac:dyDescent="0.3">
      <c r="A99">
        <v>98</v>
      </c>
      <c r="B99" t="s">
        <v>73</v>
      </c>
      <c r="C99" t="s">
        <v>117</v>
      </c>
      <c r="D99" t="s">
        <v>122</v>
      </c>
      <c r="E99" t="s">
        <v>144</v>
      </c>
      <c r="F99" t="s">
        <v>150</v>
      </c>
      <c r="G99">
        <v>5</v>
      </c>
      <c r="H99">
        <v>177.81</v>
      </c>
      <c r="I99">
        <v>889.05</v>
      </c>
      <c r="J99" s="3">
        <v>45505</v>
      </c>
      <c r="K99">
        <v>2024</v>
      </c>
      <c r="L99">
        <v>8</v>
      </c>
      <c r="M99" t="s">
        <v>154</v>
      </c>
    </row>
    <row r="100" spans="1:13" x14ac:dyDescent="0.3">
      <c r="A100">
        <v>99</v>
      </c>
      <c r="B100" t="s">
        <v>64</v>
      </c>
      <c r="C100" t="s">
        <v>116</v>
      </c>
      <c r="D100" t="s">
        <v>126</v>
      </c>
      <c r="E100" t="s">
        <v>143</v>
      </c>
      <c r="F100" t="s">
        <v>152</v>
      </c>
      <c r="G100">
        <v>4</v>
      </c>
      <c r="H100">
        <v>190.28</v>
      </c>
      <c r="I100">
        <v>761.12</v>
      </c>
      <c r="J100" s="3">
        <v>45374</v>
      </c>
      <c r="K100">
        <v>2024</v>
      </c>
      <c r="L100">
        <v>3</v>
      </c>
      <c r="M100" t="s">
        <v>159</v>
      </c>
    </row>
    <row r="101" spans="1:13" x14ac:dyDescent="0.3">
      <c r="A101">
        <v>100</v>
      </c>
      <c r="B101" t="s">
        <v>48</v>
      </c>
      <c r="C101" t="s">
        <v>117</v>
      </c>
      <c r="D101" t="s">
        <v>122</v>
      </c>
      <c r="E101" t="s">
        <v>138</v>
      </c>
      <c r="F101" t="s">
        <v>148</v>
      </c>
      <c r="G101">
        <v>4</v>
      </c>
      <c r="H101">
        <v>19.45</v>
      </c>
      <c r="I101">
        <v>77.8</v>
      </c>
      <c r="J101" s="3">
        <v>45329</v>
      </c>
      <c r="K101">
        <v>2024</v>
      </c>
      <c r="L101">
        <v>2</v>
      </c>
      <c r="M101" t="s">
        <v>163</v>
      </c>
    </row>
    <row r="102" spans="1:13" x14ac:dyDescent="0.3">
      <c r="A102">
        <v>101</v>
      </c>
      <c r="B102" t="s">
        <v>92</v>
      </c>
      <c r="C102" t="s">
        <v>119</v>
      </c>
      <c r="D102" t="s">
        <v>136</v>
      </c>
      <c r="E102" t="s">
        <v>140</v>
      </c>
      <c r="F102" t="s">
        <v>150</v>
      </c>
      <c r="G102">
        <v>3</v>
      </c>
      <c r="H102">
        <v>14.84</v>
      </c>
      <c r="I102">
        <v>44.52</v>
      </c>
      <c r="J102" s="3">
        <v>45531</v>
      </c>
      <c r="K102">
        <v>2024</v>
      </c>
      <c r="L102">
        <v>8</v>
      </c>
      <c r="M102" t="s">
        <v>154</v>
      </c>
    </row>
    <row r="103" spans="1:13" x14ac:dyDescent="0.3">
      <c r="A103">
        <v>102</v>
      </c>
      <c r="B103" t="s">
        <v>93</v>
      </c>
      <c r="C103" t="s">
        <v>118</v>
      </c>
      <c r="D103" t="s">
        <v>137</v>
      </c>
      <c r="E103" t="s">
        <v>144</v>
      </c>
      <c r="F103" t="s">
        <v>150</v>
      </c>
      <c r="G103">
        <v>1</v>
      </c>
      <c r="H103">
        <v>83.09</v>
      </c>
      <c r="I103">
        <v>83.09</v>
      </c>
      <c r="J103" s="3">
        <v>45334</v>
      </c>
      <c r="K103">
        <v>2024</v>
      </c>
      <c r="L103">
        <v>2</v>
      </c>
      <c r="M103" t="s">
        <v>163</v>
      </c>
    </row>
    <row r="104" spans="1:13" x14ac:dyDescent="0.3">
      <c r="A104">
        <v>103</v>
      </c>
      <c r="B104" t="s">
        <v>94</v>
      </c>
      <c r="C104" t="s">
        <v>120</v>
      </c>
      <c r="D104" t="s">
        <v>131</v>
      </c>
      <c r="E104" t="s">
        <v>142</v>
      </c>
      <c r="F104" t="s">
        <v>151</v>
      </c>
      <c r="G104">
        <v>4</v>
      </c>
      <c r="H104">
        <v>81.2</v>
      </c>
      <c r="I104">
        <v>324.8</v>
      </c>
      <c r="J104" s="3">
        <v>45431</v>
      </c>
      <c r="K104">
        <v>2024</v>
      </c>
      <c r="L104">
        <v>5</v>
      </c>
      <c r="M104" t="s">
        <v>157</v>
      </c>
    </row>
    <row r="105" spans="1:13" x14ac:dyDescent="0.3">
      <c r="A105">
        <v>104</v>
      </c>
      <c r="B105" t="s">
        <v>58</v>
      </c>
      <c r="C105" t="s">
        <v>116</v>
      </c>
      <c r="D105" t="s">
        <v>121</v>
      </c>
      <c r="E105" t="s">
        <v>146</v>
      </c>
      <c r="F105" t="s">
        <v>153</v>
      </c>
      <c r="G105">
        <v>1</v>
      </c>
      <c r="H105">
        <v>187.85</v>
      </c>
      <c r="I105">
        <v>187.85</v>
      </c>
      <c r="J105" s="3">
        <v>45399</v>
      </c>
      <c r="K105">
        <v>2024</v>
      </c>
      <c r="L105">
        <v>4</v>
      </c>
      <c r="M105" t="s">
        <v>156</v>
      </c>
    </row>
    <row r="106" spans="1:13" x14ac:dyDescent="0.3">
      <c r="A106">
        <v>105</v>
      </c>
      <c r="B106" t="s">
        <v>84</v>
      </c>
      <c r="C106" t="s">
        <v>119</v>
      </c>
      <c r="D106" t="s">
        <v>136</v>
      </c>
      <c r="E106" t="s">
        <v>144</v>
      </c>
      <c r="F106" t="s">
        <v>150</v>
      </c>
      <c r="G106">
        <v>2</v>
      </c>
      <c r="H106">
        <v>46.97</v>
      </c>
      <c r="I106">
        <v>93.94</v>
      </c>
      <c r="J106" s="3">
        <v>45422</v>
      </c>
      <c r="K106">
        <v>2024</v>
      </c>
      <c r="L106">
        <v>5</v>
      </c>
      <c r="M106" t="s">
        <v>157</v>
      </c>
    </row>
    <row r="107" spans="1:13" x14ac:dyDescent="0.3">
      <c r="A107">
        <v>106</v>
      </c>
      <c r="B107" t="s">
        <v>87</v>
      </c>
      <c r="C107" t="s">
        <v>116</v>
      </c>
      <c r="D107" t="s">
        <v>128</v>
      </c>
      <c r="E107" t="s">
        <v>143</v>
      </c>
      <c r="F107" t="s">
        <v>152</v>
      </c>
      <c r="G107">
        <v>1</v>
      </c>
      <c r="H107">
        <v>27.68</v>
      </c>
      <c r="I107">
        <v>27.68</v>
      </c>
      <c r="J107" s="3">
        <v>45449</v>
      </c>
      <c r="K107">
        <v>2024</v>
      </c>
      <c r="L107">
        <v>6</v>
      </c>
      <c r="M107" t="s">
        <v>158</v>
      </c>
    </row>
    <row r="108" spans="1:13" x14ac:dyDescent="0.3">
      <c r="A108">
        <v>107</v>
      </c>
      <c r="B108" t="s">
        <v>95</v>
      </c>
      <c r="C108" t="s">
        <v>120</v>
      </c>
      <c r="D108" t="s">
        <v>134</v>
      </c>
      <c r="E108" t="s">
        <v>144</v>
      </c>
      <c r="F108" t="s">
        <v>150</v>
      </c>
      <c r="G108">
        <v>2</v>
      </c>
      <c r="H108">
        <v>162.06</v>
      </c>
      <c r="I108">
        <v>324.12</v>
      </c>
      <c r="J108" s="3">
        <v>45357</v>
      </c>
      <c r="K108">
        <v>2024</v>
      </c>
      <c r="L108">
        <v>3</v>
      </c>
      <c r="M108" t="s">
        <v>159</v>
      </c>
    </row>
    <row r="109" spans="1:13" x14ac:dyDescent="0.3">
      <c r="A109">
        <v>108</v>
      </c>
      <c r="B109" t="s">
        <v>96</v>
      </c>
      <c r="C109" t="s">
        <v>119</v>
      </c>
      <c r="D109" t="s">
        <v>125</v>
      </c>
      <c r="E109" t="s">
        <v>138</v>
      </c>
      <c r="F109" t="s">
        <v>148</v>
      </c>
      <c r="G109">
        <v>1</v>
      </c>
      <c r="H109">
        <v>89.7</v>
      </c>
      <c r="I109">
        <v>89.7</v>
      </c>
      <c r="J109" s="3">
        <v>45320</v>
      </c>
      <c r="K109">
        <v>2024</v>
      </c>
      <c r="L109">
        <v>1</v>
      </c>
      <c r="M109" t="s">
        <v>161</v>
      </c>
    </row>
    <row r="110" spans="1:13" x14ac:dyDescent="0.3">
      <c r="A110">
        <v>109</v>
      </c>
      <c r="B110" t="s">
        <v>84</v>
      </c>
      <c r="C110" t="s">
        <v>119</v>
      </c>
      <c r="D110" t="s">
        <v>125</v>
      </c>
      <c r="E110" t="s">
        <v>141</v>
      </c>
      <c r="F110" t="s">
        <v>149</v>
      </c>
      <c r="G110">
        <v>5</v>
      </c>
      <c r="H110">
        <v>81.13</v>
      </c>
      <c r="I110">
        <v>405.65</v>
      </c>
      <c r="J110" s="3">
        <v>45520</v>
      </c>
      <c r="K110">
        <v>2024</v>
      </c>
      <c r="L110">
        <v>8</v>
      </c>
      <c r="M110" t="s">
        <v>154</v>
      </c>
    </row>
    <row r="111" spans="1:13" x14ac:dyDescent="0.3">
      <c r="A111">
        <v>110</v>
      </c>
      <c r="B111" t="s">
        <v>97</v>
      </c>
      <c r="C111" t="s">
        <v>119</v>
      </c>
      <c r="D111" t="s">
        <v>130</v>
      </c>
      <c r="E111" t="s">
        <v>145</v>
      </c>
      <c r="F111" t="s">
        <v>152</v>
      </c>
      <c r="G111">
        <v>3</v>
      </c>
      <c r="H111">
        <v>67.61</v>
      </c>
      <c r="I111">
        <v>202.83</v>
      </c>
      <c r="J111" s="3">
        <v>45418</v>
      </c>
      <c r="K111">
        <v>2024</v>
      </c>
      <c r="L111">
        <v>5</v>
      </c>
      <c r="M111" t="s">
        <v>157</v>
      </c>
    </row>
    <row r="112" spans="1:13" x14ac:dyDescent="0.3">
      <c r="A112">
        <v>111</v>
      </c>
      <c r="B112" t="s">
        <v>98</v>
      </c>
      <c r="C112" t="s">
        <v>120</v>
      </c>
      <c r="D112" t="s">
        <v>134</v>
      </c>
      <c r="E112" t="s">
        <v>138</v>
      </c>
      <c r="F112" t="s">
        <v>148</v>
      </c>
      <c r="G112">
        <v>2</v>
      </c>
      <c r="H112">
        <v>97.54</v>
      </c>
      <c r="I112">
        <v>195.08</v>
      </c>
      <c r="J112" s="3">
        <v>45543</v>
      </c>
      <c r="K112">
        <v>2024</v>
      </c>
      <c r="L112">
        <v>9</v>
      </c>
      <c r="M112" t="s">
        <v>155</v>
      </c>
    </row>
    <row r="113" spans="1:13" x14ac:dyDescent="0.3">
      <c r="A113">
        <v>112</v>
      </c>
      <c r="B113" t="s">
        <v>21</v>
      </c>
      <c r="C113" t="s">
        <v>118</v>
      </c>
      <c r="D113" t="s">
        <v>124</v>
      </c>
      <c r="E113" t="s">
        <v>138</v>
      </c>
      <c r="F113" t="s">
        <v>148</v>
      </c>
      <c r="G113">
        <v>3</v>
      </c>
      <c r="H113">
        <v>135.59</v>
      </c>
      <c r="I113">
        <v>406.77</v>
      </c>
      <c r="J113" s="3">
        <v>45406</v>
      </c>
      <c r="K113">
        <v>2024</v>
      </c>
      <c r="L113">
        <v>4</v>
      </c>
      <c r="M113" t="s">
        <v>156</v>
      </c>
    </row>
    <row r="114" spans="1:13" x14ac:dyDescent="0.3">
      <c r="A114">
        <v>113</v>
      </c>
      <c r="B114" t="s">
        <v>26</v>
      </c>
      <c r="C114" t="s">
        <v>119</v>
      </c>
      <c r="D114" t="s">
        <v>132</v>
      </c>
      <c r="E114" t="s">
        <v>147</v>
      </c>
      <c r="F114" t="s">
        <v>150</v>
      </c>
      <c r="G114">
        <v>5</v>
      </c>
      <c r="H114">
        <v>181.25</v>
      </c>
      <c r="I114">
        <v>906.25</v>
      </c>
      <c r="J114" s="3">
        <v>45463</v>
      </c>
      <c r="K114">
        <v>2024</v>
      </c>
      <c r="L114">
        <v>6</v>
      </c>
      <c r="M114" t="s">
        <v>158</v>
      </c>
    </row>
    <row r="115" spans="1:13" x14ac:dyDescent="0.3">
      <c r="A115">
        <v>114</v>
      </c>
      <c r="B115" t="s">
        <v>99</v>
      </c>
      <c r="C115" t="s">
        <v>116</v>
      </c>
      <c r="D115" t="s">
        <v>128</v>
      </c>
      <c r="E115" t="s">
        <v>140</v>
      </c>
      <c r="F115" t="s">
        <v>150</v>
      </c>
      <c r="G115">
        <v>3</v>
      </c>
      <c r="H115">
        <v>185.14</v>
      </c>
      <c r="I115">
        <v>555.41999999999996</v>
      </c>
      <c r="J115" s="3">
        <v>45462</v>
      </c>
      <c r="K115">
        <v>2024</v>
      </c>
      <c r="L115">
        <v>6</v>
      </c>
      <c r="M115" t="s">
        <v>158</v>
      </c>
    </row>
    <row r="116" spans="1:13" x14ac:dyDescent="0.3">
      <c r="A116">
        <v>115</v>
      </c>
      <c r="B116" t="s">
        <v>100</v>
      </c>
      <c r="C116" t="s">
        <v>120</v>
      </c>
      <c r="D116" t="s">
        <v>134</v>
      </c>
      <c r="E116" t="s">
        <v>140</v>
      </c>
      <c r="F116" t="s">
        <v>150</v>
      </c>
      <c r="G116">
        <v>2</v>
      </c>
      <c r="H116">
        <v>187.45</v>
      </c>
      <c r="I116">
        <v>374.9</v>
      </c>
      <c r="J116" s="3">
        <v>45322</v>
      </c>
      <c r="K116">
        <v>2024</v>
      </c>
      <c r="L116">
        <v>1</v>
      </c>
      <c r="M116" t="s">
        <v>161</v>
      </c>
    </row>
    <row r="117" spans="1:13" x14ac:dyDescent="0.3">
      <c r="A117">
        <v>116</v>
      </c>
      <c r="B117" t="s">
        <v>63</v>
      </c>
      <c r="C117" t="s">
        <v>120</v>
      </c>
      <c r="D117" t="s">
        <v>127</v>
      </c>
      <c r="E117" t="s">
        <v>145</v>
      </c>
      <c r="F117" t="s">
        <v>152</v>
      </c>
      <c r="G117">
        <v>2</v>
      </c>
      <c r="H117">
        <v>91.64</v>
      </c>
      <c r="I117">
        <v>183.28</v>
      </c>
      <c r="J117" s="3">
        <v>45463</v>
      </c>
      <c r="K117">
        <v>2024</v>
      </c>
      <c r="L117">
        <v>6</v>
      </c>
      <c r="M117" t="s">
        <v>158</v>
      </c>
    </row>
    <row r="118" spans="1:13" x14ac:dyDescent="0.3">
      <c r="A118">
        <v>117</v>
      </c>
      <c r="B118" t="s">
        <v>101</v>
      </c>
      <c r="C118" t="s">
        <v>120</v>
      </c>
      <c r="D118" t="s">
        <v>127</v>
      </c>
      <c r="E118" t="s">
        <v>139</v>
      </c>
      <c r="F118" t="s">
        <v>149</v>
      </c>
      <c r="G118">
        <v>5</v>
      </c>
      <c r="H118">
        <v>83.76</v>
      </c>
      <c r="I118">
        <v>418.8</v>
      </c>
      <c r="J118" s="3">
        <v>45415</v>
      </c>
      <c r="K118">
        <v>2024</v>
      </c>
      <c r="L118">
        <v>5</v>
      </c>
      <c r="M118" t="s">
        <v>157</v>
      </c>
    </row>
    <row r="119" spans="1:13" x14ac:dyDescent="0.3">
      <c r="A119">
        <v>118</v>
      </c>
      <c r="B119" t="s">
        <v>102</v>
      </c>
      <c r="C119" t="s">
        <v>116</v>
      </c>
      <c r="D119" t="s">
        <v>128</v>
      </c>
      <c r="E119" t="s">
        <v>145</v>
      </c>
      <c r="F119" t="s">
        <v>152</v>
      </c>
      <c r="G119">
        <v>2</v>
      </c>
      <c r="H119">
        <v>194.61</v>
      </c>
      <c r="I119">
        <v>389.22</v>
      </c>
      <c r="J119" s="3">
        <v>45580</v>
      </c>
      <c r="K119">
        <v>2024</v>
      </c>
      <c r="L119">
        <v>10</v>
      </c>
      <c r="M119" t="s">
        <v>162</v>
      </c>
    </row>
    <row r="120" spans="1:13" x14ac:dyDescent="0.3">
      <c r="A120">
        <v>119</v>
      </c>
      <c r="B120" t="s">
        <v>103</v>
      </c>
      <c r="C120" t="s">
        <v>118</v>
      </c>
      <c r="D120" t="s">
        <v>123</v>
      </c>
      <c r="E120" t="s">
        <v>142</v>
      </c>
      <c r="F120" t="s">
        <v>151</v>
      </c>
      <c r="G120">
        <v>1</v>
      </c>
      <c r="H120">
        <v>99.57</v>
      </c>
      <c r="I120">
        <v>99.57</v>
      </c>
      <c r="J120" s="3">
        <v>45477</v>
      </c>
      <c r="K120">
        <v>2024</v>
      </c>
      <c r="L120">
        <v>7</v>
      </c>
      <c r="M120" t="s">
        <v>160</v>
      </c>
    </row>
    <row r="121" spans="1:13" x14ac:dyDescent="0.3">
      <c r="A121">
        <v>120</v>
      </c>
      <c r="B121" t="s">
        <v>17</v>
      </c>
      <c r="C121" t="s">
        <v>119</v>
      </c>
      <c r="D121" t="s">
        <v>132</v>
      </c>
      <c r="E121" t="s">
        <v>141</v>
      </c>
      <c r="F121" t="s">
        <v>149</v>
      </c>
      <c r="G121">
        <v>5</v>
      </c>
      <c r="H121">
        <v>60.81</v>
      </c>
      <c r="I121">
        <v>304.05</v>
      </c>
      <c r="J121" s="3">
        <v>45479</v>
      </c>
      <c r="K121">
        <v>2024</v>
      </c>
      <c r="L121">
        <v>7</v>
      </c>
      <c r="M121" t="s">
        <v>160</v>
      </c>
    </row>
    <row r="122" spans="1:13" x14ac:dyDescent="0.3">
      <c r="A122">
        <v>121</v>
      </c>
      <c r="B122" t="s">
        <v>74</v>
      </c>
      <c r="C122" t="s">
        <v>118</v>
      </c>
      <c r="D122" t="s">
        <v>124</v>
      </c>
      <c r="E122" t="s">
        <v>145</v>
      </c>
      <c r="F122" t="s">
        <v>152</v>
      </c>
      <c r="G122">
        <v>2</v>
      </c>
      <c r="H122">
        <v>37.65</v>
      </c>
      <c r="I122">
        <v>75.3</v>
      </c>
      <c r="J122" s="3">
        <v>45587</v>
      </c>
      <c r="K122">
        <v>2024</v>
      </c>
      <c r="L122">
        <v>10</v>
      </c>
      <c r="M122" t="s">
        <v>162</v>
      </c>
    </row>
    <row r="123" spans="1:13" x14ac:dyDescent="0.3">
      <c r="A123">
        <v>122</v>
      </c>
      <c r="B123" t="s">
        <v>104</v>
      </c>
      <c r="C123" t="s">
        <v>117</v>
      </c>
      <c r="D123" t="s">
        <v>122</v>
      </c>
      <c r="E123" t="s">
        <v>140</v>
      </c>
      <c r="F123" t="s">
        <v>150</v>
      </c>
      <c r="G123">
        <v>3</v>
      </c>
      <c r="H123">
        <v>142.47</v>
      </c>
      <c r="I123">
        <v>427.41</v>
      </c>
      <c r="J123" s="3">
        <v>45488</v>
      </c>
      <c r="K123">
        <v>2024</v>
      </c>
      <c r="L123">
        <v>7</v>
      </c>
      <c r="M123" t="s">
        <v>160</v>
      </c>
    </row>
    <row r="124" spans="1:13" x14ac:dyDescent="0.3">
      <c r="A124">
        <v>123</v>
      </c>
      <c r="B124" t="s">
        <v>29</v>
      </c>
      <c r="C124" t="s">
        <v>120</v>
      </c>
      <c r="D124" t="s">
        <v>131</v>
      </c>
      <c r="E124" t="s">
        <v>146</v>
      </c>
      <c r="F124" t="s">
        <v>153</v>
      </c>
      <c r="G124">
        <v>2</v>
      </c>
      <c r="H124">
        <v>192.92</v>
      </c>
      <c r="I124">
        <v>385.84</v>
      </c>
      <c r="J124" s="3">
        <v>45584</v>
      </c>
      <c r="K124">
        <v>2024</v>
      </c>
      <c r="L124">
        <v>10</v>
      </c>
      <c r="M124" t="s">
        <v>162</v>
      </c>
    </row>
    <row r="125" spans="1:13" x14ac:dyDescent="0.3">
      <c r="A125">
        <v>124</v>
      </c>
      <c r="B125" t="s">
        <v>77</v>
      </c>
      <c r="C125" t="s">
        <v>119</v>
      </c>
      <c r="D125" t="s">
        <v>130</v>
      </c>
      <c r="E125" t="s">
        <v>147</v>
      </c>
      <c r="F125" t="s">
        <v>150</v>
      </c>
      <c r="G125">
        <v>3</v>
      </c>
      <c r="H125">
        <v>64.62</v>
      </c>
      <c r="I125">
        <v>193.86</v>
      </c>
      <c r="J125" s="3">
        <v>45553</v>
      </c>
      <c r="K125">
        <v>2024</v>
      </c>
      <c r="L125">
        <v>9</v>
      </c>
      <c r="M125" t="s">
        <v>155</v>
      </c>
    </row>
    <row r="126" spans="1:13" x14ac:dyDescent="0.3">
      <c r="A126">
        <v>125</v>
      </c>
      <c r="B126" t="s">
        <v>105</v>
      </c>
      <c r="C126" t="s">
        <v>118</v>
      </c>
      <c r="D126" t="s">
        <v>123</v>
      </c>
      <c r="E126" t="s">
        <v>145</v>
      </c>
      <c r="F126" t="s">
        <v>152</v>
      </c>
      <c r="G126">
        <v>3</v>
      </c>
      <c r="H126">
        <v>144.09</v>
      </c>
      <c r="I126">
        <v>432.27</v>
      </c>
      <c r="J126" s="3">
        <v>45322</v>
      </c>
      <c r="K126">
        <v>2024</v>
      </c>
      <c r="L126">
        <v>1</v>
      </c>
      <c r="M126" t="s">
        <v>161</v>
      </c>
    </row>
    <row r="127" spans="1:13" x14ac:dyDescent="0.3">
      <c r="A127">
        <v>126</v>
      </c>
      <c r="B127" t="s">
        <v>106</v>
      </c>
      <c r="C127" t="s">
        <v>117</v>
      </c>
      <c r="D127" t="s">
        <v>122</v>
      </c>
      <c r="E127" t="s">
        <v>140</v>
      </c>
      <c r="F127" t="s">
        <v>150</v>
      </c>
      <c r="G127">
        <v>4</v>
      </c>
      <c r="H127">
        <v>158.29</v>
      </c>
      <c r="I127">
        <v>633.16</v>
      </c>
      <c r="J127" s="3">
        <v>45392</v>
      </c>
      <c r="K127">
        <v>2024</v>
      </c>
      <c r="L127">
        <v>4</v>
      </c>
      <c r="M127" t="s">
        <v>156</v>
      </c>
    </row>
    <row r="128" spans="1:13" x14ac:dyDescent="0.3">
      <c r="A128">
        <v>127</v>
      </c>
      <c r="B128" t="s">
        <v>67</v>
      </c>
      <c r="C128" t="s">
        <v>119</v>
      </c>
      <c r="D128" t="s">
        <v>130</v>
      </c>
      <c r="E128" t="s">
        <v>141</v>
      </c>
      <c r="F128" t="s">
        <v>149</v>
      </c>
      <c r="G128">
        <v>2</v>
      </c>
      <c r="H128">
        <v>79.69</v>
      </c>
      <c r="I128">
        <v>159.38</v>
      </c>
      <c r="J128" s="3">
        <v>45296</v>
      </c>
      <c r="K128">
        <v>2024</v>
      </c>
      <c r="L128">
        <v>1</v>
      </c>
      <c r="M128" t="s">
        <v>161</v>
      </c>
    </row>
    <row r="129" spans="1:13" x14ac:dyDescent="0.3">
      <c r="A129">
        <v>128</v>
      </c>
      <c r="B129" t="s">
        <v>45</v>
      </c>
      <c r="C129" t="s">
        <v>117</v>
      </c>
      <c r="D129" t="s">
        <v>133</v>
      </c>
      <c r="E129" t="s">
        <v>146</v>
      </c>
      <c r="F129" t="s">
        <v>153</v>
      </c>
      <c r="G129">
        <v>1</v>
      </c>
      <c r="H129">
        <v>62.04</v>
      </c>
      <c r="I129">
        <v>62.04</v>
      </c>
      <c r="J129" s="3">
        <v>45481</v>
      </c>
      <c r="K129">
        <v>2024</v>
      </c>
      <c r="L129">
        <v>7</v>
      </c>
      <c r="M129" t="s">
        <v>160</v>
      </c>
    </row>
    <row r="130" spans="1:13" x14ac:dyDescent="0.3">
      <c r="A130">
        <v>129</v>
      </c>
      <c r="B130" t="s">
        <v>15</v>
      </c>
      <c r="C130" t="s">
        <v>116</v>
      </c>
      <c r="D130" t="s">
        <v>128</v>
      </c>
      <c r="E130" t="s">
        <v>144</v>
      </c>
      <c r="F130" t="s">
        <v>150</v>
      </c>
      <c r="G130">
        <v>2</v>
      </c>
      <c r="H130">
        <v>147.65</v>
      </c>
      <c r="I130">
        <v>295.3</v>
      </c>
      <c r="J130" s="3">
        <v>45395</v>
      </c>
      <c r="K130">
        <v>2024</v>
      </c>
      <c r="L130">
        <v>4</v>
      </c>
      <c r="M130" t="s">
        <v>156</v>
      </c>
    </row>
    <row r="131" spans="1:13" x14ac:dyDescent="0.3">
      <c r="A131">
        <v>130</v>
      </c>
      <c r="B131" t="s">
        <v>107</v>
      </c>
      <c r="C131" t="s">
        <v>119</v>
      </c>
      <c r="D131" t="s">
        <v>135</v>
      </c>
      <c r="E131" t="s">
        <v>141</v>
      </c>
      <c r="F131" t="s">
        <v>149</v>
      </c>
      <c r="G131">
        <v>1</v>
      </c>
      <c r="H131">
        <v>10.56</v>
      </c>
      <c r="I131">
        <v>10.56</v>
      </c>
      <c r="J131" s="3">
        <v>45342</v>
      </c>
      <c r="K131">
        <v>2024</v>
      </c>
      <c r="L131">
        <v>2</v>
      </c>
      <c r="M131" t="s">
        <v>163</v>
      </c>
    </row>
    <row r="132" spans="1:13" x14ac:dyDescent="0.3">
      <c r="A132">
        <v>131</v>
      </c>
      <c r="B132" t="s">
        <v>108</v>
      </c>
      <c r="C132" t="s">
        <v>120</v>
      </c>
      <c r="D132" t="s">
        <v>134</v>
      </c>
      <c r="E132" t="s">
        <v>138</v>
      </c>
      <c r="F132" t="s">
        <v>148</v>
      </c>
      <c r="G132">
        <v>3</v>
      </c>
      <c r="H132">
        <v>74.709999999999994</v>
      </c>
      <c r="I132">
        <v>224.13</v>
      </c>
      <c r="J132" s="3">
        <v>45513</v>
      </c>
      <c r="K132">
        <v>2024</v>
      </c>
      <c r="L132">
        <v>8</v>
      </c>
      <c r="M132" t="s">
        <v>154</v>
      </c>
    </row>
    <row r="133" spans="1:13" x14ac:dyDescent="0.3">
      <c r="A133">
        <v>132</v>
      </c>
      <c r="B133" t="s">
        <v>109</v>
      </c>
      <c r="C133" t="s">
        <v>117</v>
      </c>
      <c r="D133" t="s">
        <v>122</v>
      </c>
      <c r="E133" t="s">
        <v>147</v>
      </c>
      <c r="F133" t="s">
        <v>150</v>
      </c>
      <c r="G133">
        <v>5</v>
      </c>
      <c r="H133">
        <v>34.19</v>
      </c>
      <c r="I133">
        <v>170.95</v>
      </c>
      <c r="J133" s="3">
        <v>45590</v>
      </c>
      <c r="K133">
        <v>2024</v>
      </c>
      <c r="L133">
        <v>10</v>
      </c>
      <c r="M133" t="s">
        <v>162</v>
      </c>
    </row>
    <row r="134" spans="1:13" x14ac:dyDescent="0.3">
      <c r="A134">
        <v>133</v>
      </c>
      <c r="B134" t="s">
        <v>110</v>
      </c>
      <c r="C134" t="s">
        <v>116</v>
      </c>
      <c r="D134" t="s">
        <v>121</v>
      </c>
      <c r="E134" t="s">
        <v>146</v>
      </c>
      <c r="F134" t="s">
        <v>153</v>
      </c>
      <c r="G134">
        <v>1</v>
      </c>
      <c r="H134">
        <v>146.46</v>
      </c>
      <c r="I134">
        <v>146.46</v>
      </c>
      <c r="J134" s="3">
        <v>45293</v>
      </c>
      <c r="K134">
        <v>2024</v>
      </c>
      <c r="L134">
        <v>1</v>
      </c>
      <c r="M134" t="s">
        <v>161</v>
      </c>
    </row>
    <row r="135" spans="1:13" x14ac:dyDescent="0.3">
      <c r="A135">
        <v>134</v>
      </c>
      <c r="B135" t="s">
        <v>68</v>
      </c>
      <c r="C135" t="s">
        <v>118</v>
      </c>
      <c r="D135" t="s">
        <v>123</v>
      </c>
      <c r="E135" t="s">
        <v>141</v>
      </c>
      <c r="F135" t="s">
        <v>149</v>
      </c>
      <c r="G135">
        <v>1</v>
      </c>
      <c r="H135">
        <v>191.81</v>
      </c>
      <c r="I135">
        <v>191.81</v>
      </c>
      <c r="J135" s="3">
        <v>45386</v>
      </c>
      <c r="K135">
        <v>2024</v>
      </c>
      <c r="L135">
        <v>4</v>
      </c>
      <c r="M135" t="s">
        <v>156</v>
      </c>
    </row>
    <row r="136" spans="1:13" x14ac:dyDescent="0.3">
      <c r="A136">
        <v>135</v>
      </c>
      <c r="B136" t="s">
        <v>37</v>
      </c>
      <c r="C136" t="s">
        <v>116</v>
      </c>
      <c r="D136" t="s">
        <v>128</v>
      </c>
      <c r="E136" t="s">
        <v>141</v>
      </c>
      <c r="F136" t="s">
        <v>149</v>
      </c>
      <c r="G136">
        <v>3</v>
      </c>
      <c r="H136">
        <v>24.01</v>
      </c>
      <c r="I136">
        <v>72.03</v>
      </c>
      <c r="J136" s="3">
        <v>45491</v>
      </c>
      <c r="K136">
        <v>2024</v>
      </c>
      <c r="L136">
        <v>7</v>
      </c>
      <c r="M136" t="s">
        <v>160</v>
      </c>
    </row>
    <row r="137" spans="1:13" x14ac:dyDescent="0.3">
      <c r="A137">
        <v>136</v>
      </c>
      <c r="B137" t="s">
        <v>43</v>
      </c>
      <c r="C137" t="s">
        <v>117</v>
      </c>
      <c r="D137" t="s">
        <v>133</v>
      </c>
      <c r="E137" t="s">
        <v>139</v>
      </c>
      <c r="F137" t="s">
        <v>149</v>
      </c>
      <c r="G137">
        <v>5</v>
      </c>
      <c r="H137">
        <v>62.2</v>
      </c>
      <c r="I137">
        <v>311</v>
      </c>
      <c r="J137" s="3">
        <v>45295</v>
      </c>
      <c r="K137">
        <v>2024</v>
      </c>
      <c r="L137">
        <v>1</v>
      </c>
      <c r="M137" t="s">
        <v>161</v>
      </c>
    </row>
    <row r="138" spans="1:13" x14ac:dyDescent="0.3">
      <c r="A138">
        <v>137</v>
      </c>
      <c r="B138" t="s">
        <v>111</v>
      </c>
      <c r="C138" t="s">
        <v>118</v>
      </c>
      <c r="D138" t="s">
        <v>124</v>
      </c>
      <c r="E138" t="s">
        <v>142</v>
      </c>
      <c r="F138" t="s">
        <v>151</v>
      </c>
      <c r="G138">
        <v>1</v>
      </c>
      <c r="H138">
        <v>181.69</v>
      </c>
      <c r="I138">
        <v>181.69</v>
      </c>
      <c r="J138" s="3">
        <v>45322</v>
      </c>
      <c r="K138">
        <v>2024</v>
      </c>
      <c r="L138">
        <v>1</v>
      </c>
      <c r="M138" t="s">
        <v>161</v>
      </c>
    </row>
    <row r="139" spans="1:13" x14ac:dyDescent="0.3">
      <c r="A139">
        <v>138</v>
      </c>
      <c r="B139" t="s">
        <v>21</v>
      </c>
      <c r="C139" t="s">
        <v>119</v>
      </c>
      <c r="D139" t="s">
        <v>125</v>
      </c>
      <c r="E139" t="s">
        <v>143</v>
      </c>
      <c r="F139" t="s">
        <v>152</v>
      </c>
      <c r="G139">
        <v>3</v>
      </c>
      <c r="H139">
        <v>153.76</v>
      </c>
      <c r="I139">
        <v>461.28</v>
      </c>
      <c r="J139" s="3">
        <v>45360</v>
      </c>
      <c r="K139">
        <v>2024</v>
      </c>
      <c r="L139">
        <v>3</v>
      </c>
      <c r="M139" t="s">
        <v>159</v>
      </c>
    </row>
    <row r="140" spans="1:13" x14ac:dyDescent="0.3">
      <c r="A140">
        <v>139</v>
      </c>
      <c r="B140" t="s">
        <v>112</v>
      </c>
      <c r="C140" t="s">
        <v>119</v>
      </c>
      <c r="D140" t="s">
        <v>135</v>
      </c>
      <c r="E140" t="s">
        <v>140</v>
      </c>
      <c r="F140" t="s">
        <v>150</v>
      </c>
      <c r="G140">
        <v>5</v>
      </c>
      <c r="H140">
        <v>37.43</v>
      </c>
      <c r="I140">
        <v>187.15</v>
      </c>
      <c r="J140" s="3">
        <v>45448</v>
      </c>
      <c r="K140">
        <v>2024</v>
      </c>
      <c r="L140">
        <v>6</v>
      </c>
      <c r="M140" t="s">
        <v>158</v>
      </c>
    </row>
    <row r="141" spans="1:13" x14ac:dyDescent="0.3">
      <c r="A141">
        <v>140</v>
      </c>
      <c r="B141" t="s">
        <v>78</v>
      </c>
      <c r="C141" t="s">
        <v>120</v>
      </c>
      <c r="D141" t="s">
        <v>127</v>
      </c>
      <c r="E141" t="s">
        <v>141</v>
      </c>
      <c r="F141" t="s">
        <v>149</v>
      </c>
      <c r="G141">
        <v>4</v>
      </c>
      <c r="H141">
        <v>154.69999999999999</v>
      </c>
      <c r="I141">
        <v>618.79999999999995</v>
      </c>
      <c r="J141" s="3">
        <v>45455</v>
      </c>
      <c r="K141">
        <v>2024</v>
      </c>
      <c r="L141">
        <v>6</v>
      </c>
      <c r="M141" t="s">
        <v>158</v>
      </c>
    </row>
    <row r="142" spans="1:13" x14ac:dyDescent="0.3">
      <c r="A142">
        <v>141</v>
      </c>
      <c r="B142" t="s">
        <v>96</v>
      </c>
      <c r="C142" t="s">
        <v>119</v>
      </c>
      <c r="D142" t="s">
        <v>125</v>
      </c>
      <c r="E142" t="s">
        <v>139</v>
      </c>
      <c r="F142" t="s">
        <v>149</v>
      </c>
      <c r="G142">
        <v>2</v>
      </c>
      <c r="H142">
        <v>167.24</v>
      </c>
      <c r="I142">
        <v>334.48</v>
      </c>
      <c r="J142" s="3">
        <v>45325</v>
      </c>
      <c r="K142">
        <v>2024</v>
      </c>
      <c r="L142">
        <v>2</v>
      </c>
      <c r="M142" t="s">
        <v>163</v>
      </c>
    </row>
    <row r="143" spans="1:13" x14ac:dyDescent="0.3">
      <c r="A143">
        <v>142</v>
      </c>
      <c r="B143" t="s">
        <v>71</v>
      </c>
      <c r="C143" t="s">
        <v>116</v>
      </c>
      <c r="D143" t="s">
        <v>126</v>
      </c>
      <c r="E143" t="s">
        <v>139</v>
      </c>
      <c r="F143" t="s">
        <v>149</v>
      </c>
      <c r="G143">
        <v>2</v>
      </c>
      <c r="H143">
        <v>43.17</v>
      </c>
      <c r="I143">
        <v>86.34</v>
      </c>
      <c r="J143" s="3">
        <v>45558</v>
      </c>
      <c r="K143">
        <v>2024</v>
      </c>
      <c r="L143">
        <v>9</v>
      </c>
      <c r="M143" t="s">
        <v>155</v>
      </c>
    </row>
    <row r="144" spans="1:13" x14ac:dyDescent="0.3">
      <c r="A144">
        <v>143</v>
      </c>
      <c r="B144" t="s">
        <v>113</v>
      </c>
      <c r="C144" t="s">
        <v>117</v>
      </c>
      <c r="D144" t="s">
        <v>122</v>
      </c>
      <c r="E144" t="s">
        <v>146</v>
      </c>
      <c r="F144" t="s">
        <v>153</v>
      </c>
      <c r="G144">
        <v>2</v>
      </c>
      <c r="H144">
        <v>124.83</v>
      </c>
      <c r="I144">
        <v>249.66</v>
      </c>
      <c r="J144" s="3">
        <v>45389</v>
      </c>
      <c r="K144">
        <v>2024</v>
      </c>
      <c r="L144">
        <v>4</v>
      </c>
      <c r="M144" t="s">
        <v>156</v>
      </c>
    </row>
    <row r="145" spans="1:13" x14ac:dyDescent="0.3">
      <c r="A145">
        <v>144</v>
      </c>
      <c r="B145" t="s">
        <v>114</v>
      </c>
      <c r="C145" t="s">
        <v>118</v>
      </c>
      <c r="D145" t="s">
        <v>123</v>
      </c>
      <c r="E145" t="s">
        <v>145</v>
      </c>
      <c r="F145" t="s">
        <v>152</v>
      </c>
      <c r="G145">
        <v>4</v>
      </c>
      <c r="H145">
        <v>127.02</v>
      </c>
      <c r="I145">
        <v>508.08</v>
      </c>
      <c r="J145" s="3">
        <v>45388</v>
      </c>
      <c r="K145">
        <v>2024</v>
      </c>
      <c r="L145">
        <v>4</v>
      </c>
      <c r="M145" t="s">
        <v>156</v>
      </c>
    </row>
    <row r="146" spans="1:13" x14ac:dyDescent="0.3">
      <c r="A146">
        <v>145</v>
      </c>
      <c r="B146" t="s">
        <v>115</v>
      </c>
      <c r="C146" t="s">
        <v>118</v>
      </c>
      <c r="D146" t="s">
        <v>137</v>
      </c>
      <c r="E146" t="s">
        <v>139</v>
      </c>
      <c r="F146" t="s">
        <v>149</v>
      </c>
      <c r="G146">
        <v>2</v>
      </c>
      <c r="H146">
        <v>13.88</v>
      </c>
      <c r="I146">
        <v>27.76</v>
      </c>
      <c r="J146" s="3">
        <v>45331</v>
      </c>
      <c r="K146">
        <v>2024</v>
      </c>
      <c r="L146">
        <v>2</v>
      </c>
      <c r="M146" t="s">
        <v>163</v>
      </c>
    </row>
    <row r="147" spans="1:13" x14ac:dyDescent="0.3">
      <c r="A147">
        <v>146</v>
      </c>
      <c r="B147" t="s">
        <v>53</v>
      </c>
      <c r="C147" t="s">
        <v>117</v>
      </c>
      <c r="D147" t="s">
        <v>122</v>
      </c>
      <c r="E147" t="s">
        <v>142</v>
      </c>
      <c r="F147" t="s">
        <v>151</v>
      </c>
      <c r="G147">
        <v>5</v>
      </c>
      <c r="H147">
        <v>138.19</v>
      </c>
      <c r="I147">
        <v>690.95</v>
      </c>
      <c r="J147" s="3">
        <v>45524</v>
      </c>
      <c r="K147">
        <v>2024</v>
      </c>
      <c r="L147">
        <v>8</v>
      </c>
      <c r="M147" t="s">
        <v>154</v>
      </c>
    </row>
    <row r="148" spans="1:13" x14ac:dyDescent="0.3">
      <c r="A148">
        <v>147</v>
      </c>
      <c r="B148" t="s">
        <v>62</v>
      </c>
      <c r="C148" t="s">
        <v>116</v>
      </c>
      <c r="D148" t="s">
        <v>121</v>
      </c>
      <c r="E148" t="s">
        <v>140</v>
      </c>
      <c r="F148" t="s">
        <v>150</v>
      </c>
      <c r="G148">
        <v>4</v>
      </c>
      <c r="H148">
        <v>22.58</v>
      </c>
      <c r="I148">
        <v>90.32</v>
      </c>
      <c r="J148" s="3">
        <v>45461</v>
      </c>
      <c r="K148">
        <v>2024</v>
      </c>
      <c r="L148">
        <v>6</v>
      </c>
      <c r="M148" t="s">
        <v>158</v>
      </c>
    </row>
    <row r="149" spans="1:13" x14ac:dyDescent="0.3">
      <c r="A149">
        <v>148</v>
      </c>
      <c r="B149" t="s">
        <v>107</v>
      </c>
      <c r="C149" t="s">
        <v>120</v>
      </c>
      <c r="D149" t="s">
        <v>131</v>
      </c>
      <c r="E149" t="s">
        <v>138</v>
      </c>
      <c r="F149" t="s">
        <v>148</v>
      </c>
      <c r="G149">
        <v>2</v>
      </c>
      <c r="H149">
        <v>170.9</v>
      </c>
      <c r="I149">
        <v>341.8</v>
      </c>
      <c r="J149" s="3">
        <v>45440</v>
      </c>
      <c r="K149">
        <v>2024</v>
      </c>
      <c r="L149">
        <v>5</v>
      </c>
      <c r="M149" t="s">
        <v>157</v>
      </c>
    </row>
    <row r="150" spans="1:13" x14ac:dyDescent="0.3">
      <c r="A150">
        <v>149</v>
      </c>
      <c r="B150" t="s">
        <v>115</v>
      </c>
      <c r="C150" t="s">
        <v>119</v>
      </c>
      <c r="D150" t="s">
        <v>136</v>
      </c>
      <c r="E150" t="s">
        <v>145</v>
      </c>
      <c r="F150" t="s">
        <v>152</v>
      </c>
      <c r="G150">
        <v>1</v>
      </c>
      <c r="H150">
        <v>11.93</v>
      </c>
      <c r="I150">
        <v>11.93</v>
      </c>
      <c r="J150" s="3">
        <v>45574</v>
      </c>
      <c r="K150">
        <v>2024</v>
      </c>
      <c r="L150">
        <v>10</v>
      </c>
      <c r="M150" t="s">
        <v>162</v>
      </c>
    </row>
    <row r="151" spans="1:13" x14ac:dyDescent="0.3">
      <c r="A151">
        <v>150</v>
      </c>
      <c r="B151" t="s">
        <v>49</v>
      </c>
      <c r="C151" t="s">
        <v>118</v>
      </c>
      <c r="D151" t="s">
        <v>124</v>
      </c>
      <c r="E151" t="s">
        <v>144</v>
      </c>
      <c r="F151" t="s">
        <v>150</v>
      </c>
      <c r="G151">
        <v>4</v>
      </c>
      <c r="H151">
        <v>198.02</v>
      </c>
      <c r="I151">
        <v>792.08</v>
      </c>
      <c r="J151" s="3">
        <v>45350</v>
      </c>
      <c r="K151">
        <v>2024</v>
      </c>
      <c r="L151">
        <v>2</v>
      </c>
      <c r="M151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87A9E-0E44-4AEB-9204-31249AEDCB6B}">
  <dimension ref="A1:B6"/>
  <sheetViews>
    <sheetView workbookViewId="0">
      <selection activeCell="C7" sqref="C7"/>
    </sheetView>
  </sheetViews>
  <sheetFormatPr defaultRowHeight="14.4" x14ac:dyDescent="0.3"/>
  <cols>
    <col min="1" max="1" width="12.21875" bestFit="1" customWidth="1"/>
    <col min="2" max="2" width="12" bestFit="1" customWidth="1"/>
  </cols>
  <sheetData>
    <row r="1" spans="1:2" x14ac:dyDescent="0.3">
      <c r="A1" s="4" t="s">
        <v>164</v>
      </c>
      <c r="B1" s="4" t="s">
        <v>165</v>
      </c>
    </row>
    <row r="2" spans="1:2" x14ac:dyDescent="0.3">
      <c r="A2" t="s">
        <v>8</v>
      </c>
      <c r="B2">
        <f>SUM(DATA!I:I)</f>
        <v>49648.100000000035</v>
      </c>
    </row>
    <row r="3" spans="1:2" x14ac:dyDescent="0.3">
      <c r="A3" t="s">
        <v>166</v>
      </c>
      <c r="B3">
        <f>COUNT(DATA!A:A)</f>
        <v>150</v>
      </c>
    </row>
    <row r="4" spans="1:2" x14ac:dyDescent="0.3">
      <c r="A4" t="s">
        <v>167</v>
      </c>
      <c r="B4">
        <f>SUM(DATA!G:G)</f>
        <v>447</v>
      </c>
    </row>
    <row r="5" spans="1:2" x14ac:dyDescent="0.3">
      <c r="A5" t="s">
        <v>168</v>
      </c>
      <c r="B5">
        <f>B2/B3</f>
        <v>330.98733333333354</v>
      </c>
    </row>
    <row r="6" spans="1:2" x14ac:dyDescent="0.3">
      <c r="A6" t="s">
        <v>169</v>
      </c>
      <c r="B6">
        <f>AVERAGE(DATA!H:H)</f>
        <v>110.38180000000003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77F3-2699-4C93-A2AF-56679BA29E49}">
  <dimension ref="A1:B12"/>
  <sheetViews>
    <sheetView zoomScale="85" zoomScaleNormal="85" workbookViewId="0">
      <selection activeCell="N16" sqref="N16"/>
    </sheetView>
  </sheetViews>
  <sheetFormatPr defaultRowHeight="14.4" x14ac:dyDescent="0.3"/>
  <cols>
    <col min="1" max="1" width="17" bestFit="1" customWidth="1"/>
    <col min="2" max="2" width="24.5546875" bestFit="1" customWidth="1"/>
  </cols>
  <sheetData>
    <row r="1" spans="1:2" x14ac:dyDescent="0.3">
      <c r="A1" s="5" t="s">
        <v>170</v>
      </c>
      <c r="B1" t="s">
        <v>172</v>
      </c>
    </row>
    <row r="2" spans="1:2" x14ac:dyDescent="0.3">
      <c r="A2" s="6" t="s">
        <v>161</v>
      </c>
      <c r="B2" s="7">
        <v>3040.28</v>
      </c>
    </row>
    <row r="3" spans="1:2" x14ac:dyDescent="0.3">
      <c r="A3" s="6" t="s">
        <v>163</v>
      </c>
      <c r="B3" s="7">
        <v>3625.9100000000003</v>
      </c>
    </row>
    <row r="4" spans="1:2" x14ac:dyDescent="0.3">
      <c r="A4" s="6" t="s">
        <v>159</v>
      </c>
      <c r="B4" s="7">
        <v>8651.369999999999</v>
      </c>
    </row>
    <row r="5" spans="1:2" x14ac:dyDescent="0.3">
      <c r="A5" s="6" t="s">
        <v>156</v>
      </c>
      <c r="B5" s="7">
        <v>7108.0600000000013</v>
      </c>
    </row>
    <row r="6" spans="1:2" x14ac:dyDescent="0.3">
      <c r="A6" s="6" t="s">
        <v>157</v>
      </c>
      <c r="B6" s="7">
        <v>6012.4099999999989</v>
      </c>
    </row>
    <row r="7" spans="1:2" x14ac:dyDescent="0.3">
      <c r="A7" s="6" t="s">
        <v>158</v>
      </c>
      <c r="B7" s="7">
        <v>7237.28</v>
      </c>
    </row>
    <row r="8" spans="1:2" x14ac:dyDescent="0.3">
      <c r="A8" s="6" t="s">
        <v>160</v>
      </c>
      <c r="B8" s="7">
        <v>4663.1400000000003</v>
      </c>
    </row>
    <row r="9" spans="1:2" x14ac:dyDescent="0.3">
      <c r="A9" s="6" t="s">
        <v>154</v>
      </c>
      <c r="B9" s="7">
        <v>3975.8</v>
      </c>
    </row>
    <row r="10" spans="1:2" x14ac:dyDescent="0.3">
      <c r="A10" s="6" t="s">
        <v>155</v>
      </c>
      <c r="B10" s="7">
        <v>3088.6200000000003</v>
      </c>
    </row>
    <row r="11" spans="1:2" x14ac:dyDescent="0.3">
      <c r="A11" s="6" t="s">
        <v>162</v>
      </c>
      <c r="B11" s="7">
        <v>2245.2299999999996</v>
      </c>
    </row>
    <row r="12" spans="1:2" x14ac:dyDescent="0.3">
      <c r="A12" s="6" t="s">
        <v>171</v>
      </c>
      <c r="B12" s="7">
        <v>49648.100000000006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5D20-1A6E-41B1-8FD0-2D22BB6F7A93}">
  <dimension ref="A1:B8"/>
  <sheetViews>
    <sheetView workbookViewId="0">
      <selection activeCell="C22" sqref="C22"/>
    </sheetView>
  </sheetViews>
  <sheetFormatPr defaultRowHeight="14.4" x14ac:dyDescent="0.3"/>
  <cols>
    <col min="1" max="1" width="17" bestFit="1" customWidth="1"/>
    <col min="2" max="2" width="24.5546875" bestFit="1" customWidth="1"/>
    <col min="3" max="6" width="20.33203125" bestFit="1" customWidth="1"/>
    <col min="7" max="7" width="11.33203125" bestFit="1" customWidth="1"/>
  </cols>
  <sheetData>
    <row r="1" spans="1:2" x14ac:dyDescent="0.3">
      <c r="A1" s="5" t="s">
        <v>170</v>
      </c>
      <c r="B1" t="s">
        <v>172</v>
      </c>
    </row>
    <row r="2" spans="1:2" x14ac:dyDescent="0.3">
      <c r="A2" s="6" t="s">
        <v>150</v>
      </c>
      <c r="B2" s="7">
        <v>13887.74</v>
      </c>
    </row>
    <row r="3" spans="1:2" x14ac:dyDescent="0.3">
      <c r="A3" s="6" t="s">
        <v>149</v>
      </c>
      <c r="B3" s="7">
        <v>10282.919999999998</v>
      </c>
    </row>
    <row r="4" spans="1:2" x14ac:dyDescent="0.3">
      <c r="A4" s="6" t="s">
        <v>152</v>
      </c>
      <c r="B4" s="7">
        <v>9976.76</v>
      </c>
    </row>
    <row r="5" spans="1:2" x14ac:dyDescent="0.3">
      <c r="A5" s="6" t="s">
        <v>148</v>
      </c>
      <c r="B5" s="7">
        <v>5623.9000000000015</v>
      </c>
    </row>
    <row r="6" spans="1:2" x14ac:dyDescent="0.3">
      <c r="A6" s="6" t="s">
        <v>153</v>
      </c>
      <c r="B6" s="7">
        <v>5409.36</v>
      </c>
    </row>
    <row r="7" spans="1:2" x14ac:dyDescent="0.3">
      <c r="A7" s="6" t="s">
        <v>151</v>
      </c>
      <c r="B7" s="7">
        <v>4467.420000000001</v>
      </c>
    </row>
    <row r="8" spans="1:2" x14ac:dyDescent="0.3">
      <c r="A8" s="6" t="s">
        <v>171</v>
      </c>
      <c r="B8" s="7">
        <v>49648.1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2BB4-97F5-44E0-B8D8-2E22A47156EF}">
  <dimension ref="A1:H8"/>
  <sheetViews>
    <sheetView workbookViewId="0">
      <selection activeCell="K22" sqref="K22"/>
    </sheetView>
  </sheetViews>
  <sheetFormatPr defaultRowHeight="14.4" x14ac:dyDescent="0.3"/>
  <cols>
    <col min="1" max="1" width="24.5546875" bestFit="1" customWidth="1"/>
    <col min="2" max="2" width="20.33203125" bestFit="1" customWidth="1"/>
    <col min="3" max="3" width="10" bestFit="1" customWidth="1"/>
    <col min="4" max="4" width="8" bestFit="1" customWidth="1"/>
    <col min="5" max="5" width="9" bestFit="1" customWidth="1"/>
    <col min="6" max="6" width="9.6640625" bestFit="1" customWidth="1"/>
    <col min="7" max="7" width="8" bestFit="1" customWidth="1"/>
    <col min="8" max="8" width="11.33203125" bestFit="1" customWidth="1"/>
  </cols>
  <sheetData>
    <row r="1" spans="1:8" x14ac:dyDescent="0.3">
      <c r="A1" s="5" t="s">
        <v>172</v>
      </c>
      <c r="B1" s="5" t="s">
        <v>173</v>
      </c>
    </row>
    <row r="2" spans="1:8" x14ac:dyDescent="0.3">
      <c r="A2" s="5" t="s">
        <v>170</v>
      </c>
      <c r="B2" t="s">
        <v>151</v>
      </c>
      <c r="C2" t="s">
        <v>150</v>
      </c>
      <c r="D2" t="s">
        <v>152</v>
      </c>
      <c r="E2" t="s">
        <v>149</v>
      </c>
      <c r="F2" t="s">
        <v>153</v>
      </c>
      <c r="G2" t="s">
        <v>148</v>
      </c>
      <c r="H2" t="s">
        <v>171</v>
      </c>
    </row>
    <row r="3" spans="1:8" x14ac:dyDescent="0.3">
      <c r="A3" s="6" t="s">
        <v>118</v>
      </c>
      <c r="B3" s="7">
        <v>790.31</v>
      </c>
      <c r="C3" s="7">
        <v>1849.38</v>
      </c>
      <c r="D3" s="7">
        <v>1141.01</v>
      </c>
      <c r="E3" s="7">
        <v>1684.06</v>
      </c>
      <c r="F3" s="7">
        <v>75.39</v>
      </c>
      <c r="G3" s="7">
        <v>1258.77</v>
      </c>
      <c r="H3" s="7">
        <v>6798.92</v>
      </c>
    </row>
    <row r="4" spans="1:8" x14ac:dyDescent="0.3">
      <c r="A4" s="6" t="s">
        <v>119</v>
      </c>
      <c r="B4" s="7">
        <v>396.21000000000004</v>
      </c>
      <c r="C4" s="7">
        <v>3341.4300000000003</v>
      </c>
      <c r="D4" s="7">
        <v>1592.33</v>
      </c>
      <c r="E4" s="7">
        <v>3843.8900000000008</v>
      </c>
      <c r="F4" s="7">
        <v>1049.58</v>
      </c>
      <c r="G4" s="7">
        <v>1476.64</v>
      </c>
      <c r="H4" s="7">
        <v>11700.08</v>
      </c>
    </row>
    <row r="5" spans="1:8" x14ac:dyDescent="0.3">
      <c r="A5" s="6" t="s">
        <v>116</v>
      </c>
      <c r="B5" s="7">
        <v>478.82</v>
      </c>
      <c r="C5" s="7">
        <v>3184.5400000000004</v>
      </c>
      <c r="D5" s="7">
        <v>2585.6399999999994</v>
      </c>
      <c r="E5" s="7">
        <v>907.65000000000009</v>
      </c>
      <c r="F5" s="7">
        <v>444.56000000000006</v>
      </c>
      <c r="G5" s="7">
        <v>1067.26</v>
      </c>
      <c r="H5" s="7">
        <v>8668.4699999999993</v>
      </c>
    </row>
    <row r="6" spans="1:8" x14ac:dyDescent="0.3">
      <c r="A6" s="6" t="s">
        <v>117</v>
      </c>
      <c r="B6" s="7">
        <v>2174.6999999999998</v>
      </c>
      <c r="C6" s="7">
        <v>2860.47</v>
      </c>
      <c r="D6" s="7">
        <v>1923.68</v>
      </c>
      <c r="E6" s="7">
        <v>2395.52</v>
      </c>
      <c r="F6" s="7">
        <v>2609.4699999999998</v>
      </c>
      <c r="G6" s="7">
        <v>618.69999999999993</v>
      </c>
      <c r="H6" s="7">
        <v>12582.54</v>
      </c>
    </row>
    <row r="7" spans="1:8" x14ac:dyDescent="0.3">
      <c r="A7" s="6" t="s">
        <v>120</v>
      </c>
      <c r="B7" s="7">
        <v>627.38</v>
      </c>
      <c r="C7" s="7">
        <v>2651.92</v>
      </c>
      <c r="D7" s="7">
        <v>2734.1</v>
      </c>
      <c r="E7" s="7">
        <v>1451.8</v>
      </c>
      <c r="F7" s="7">
        <v>1230.3599999999999</v>
      </c>
      <c r="G7" s="7">
        <v>1202.53</v>
      </c>
      <c r="H7" s="7">
        <v>9898.09</v>
      </c>
    </row>
    <row r="8" spans="1:8" x14ac:dyDescent="0.3">
      <c r="A8" s="6" t="s">
        <v>171</v>
      </c>
      <c r="B8" s="7">
        <v>4467.42</v>
      </c>
      <c r="C8" s="7">
        <v>13887.74</v>
      </c>
      <c r="D8" s="7">
        <v>9976.76</v>
      </c>
      <c r="E8" s="7">
        <v>10282.92</v>
      </c>
      <c r="F8" s="7">
        <v>5409.36</v>
      </c>
      <c r="G8" s="7">
        <v>5623.9</v>
      </c>
      <c r="H8" s="7">
        <v>49648.100000000006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561E5-DA2B-4C51-918C-5916E049B35B}">
  <dimension ref="A1:B12"/>
  <sheetViews>
    <sheetView workbookViewId="0">
      <selection activeCell="H3" sqref="H3"/>
    </sheetView>
  </sheetViews>
  <sheetFormatPr defaultRowHeight="14.4" x14ac:dyDescent="0.3"/>
  <cols>
    <col min="1" max="1" width="17" bestFit="1" customWidth="1"/>
    <col min="2" max="2" width="24.5546875" bestFit="1" customWidth="1"/>
  </cols>
  <sheetData>
    <row r="1" spans="1:2" x14ac:dyDescent="0.3">
      <c r="A1" s="5" t="s">
        <v>170</v>
      </c>
      <c r="B1" t="s">
        <v>172</v>
      </c>
    </row>
    <row r="2" spans="1:2" x14ac:dyDescent="0.3">
      <c r="A2" s="6" t="s">
        <v>145</v>
      </c>
      <c r="B2" s="7">
        <v>6689.880000000001</v>
      </c>
    </row>
    <row r="3" spans="1:2" x14ac:dyDescent="0.3">
      <c r="A3" s="6" t="s">
        <v>138</v>
      </c>
      <c r="B3" s="7">
        <v>5623.9000000000015</v>
      </c>
    </row>
    <row r="4" spans="1:2" x14ac:dyDescent="0.3">
      <c r="A4" s="6" t="s">
        <v>146</v>
      </c>
      <c r="B4" s="7">
        <v>5409.36</v>
      </c>
    </row>
    <row r="5" spans="1:2" x14ac:dyDescent="0.3">
      <c r="A5" s="6" t="s">
        <v>141</v>
      </c>
      <c r="B5" s="7">
        <v>5215.12</v>
      </c>
    </row>
    <row r="6" spans="1:2" x14ac:dyDescent="0.3">
      <c r="A6" s="6" t="s">
        <v>139</v>
      </c>
      <c r="B6" s="7">
        <v>5067.8000000000011</v>
      </c>
    </row>
    <row r="7" spans="1:2" x14ac:dyDescent="0.3">
      <c r="A7" s="6" t="s">
        <v>140</v>
      </c>
      <c r="B7" s="7">
        <v>4740.41</v>
      </c>
    </row>
    <row r="8" spans="1:2" x14ac:dyDescent="0.3">
      <c r="A8" s="6" t="s">
        <v>144</v>
      </c>
      <c r="B8" s="7">
        <v>4684.8300000000008</v>
      </c>
    </row>
    <row r="9" spans="1:2" x14ac:dyDescent="0.3">
      <c r="A9" s="6" t="s">
        <v>142</v>
      </c>
      <c r="B9" s="7">
        <v>4467.420000000001</v>
      </c>
    </row>
    <row r="10" spans="1:2" x14ac:dyDescent="0.3">
      <c r="A10" s="6" t="s">
        <v>147</v>
      </c>
      <c r="B10" s="7">
        <v>4462.5</v>
      </c>
    </row>
    <row r="11" spans="1:2" x14ac:dyDescent="0.3">
      <c r="A11" s="6" t="s">
        <v>143</v>
      </c>
      <c r="B11" s="7">
        <v>3286.8799999999992</v>
      </c>
    </row>
    <row r="12" spans="1:2" x14ac:dyDescent="0.3">
      <c r="A12" s="6" t="s">
        <v>171</v>
      </c>
      <c r="B12" s="7">
        <v>49648.100000000013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FFCA3-819A-4428-B735-8C5E8CA539B6}">
  <sheetPr>
    <pageSetUpPr autoPageBreaks="0"/>
  </sheetPr>
  <dimension ref="B2:Z5"/>
  <sheetViews>
    <sheetView showGridLines="0" tabSelected="1" zoomScale="55" zoomScaleNormal="55" workbookViewId="0">
      <selection activeCell="B1" sqref="B1"/>
    </sheetView>
  </sheetViews>
  <sheetFormatPr defaultRowHeight="14.4" x14ac:dyDescent="0.3"/>
  <sheetData>
    <row r="2" spans="2:26" ht="14.4" customHeight="1" x14ac:dyDescent="0.3">
      <c r="B2" s="8"/>
      <c r="C2" s="9"/>
      <c r="D2" s="10"/>
      <c r="E2" s="10"/>
      <c r="F2" s="11"/>
      <c r="H2" s="9"/>
      <c r="I2" s="10"/>
      <c r="J2" s="10"/>
      <c r="K2" s="11"/>
      <c r="M2" s="9"/>
      <c r="N2" s="10"/>
      <c r="O2" s="10"/>
      <c r="P2" s="11"/>
      <c r="R2" s="9"/>
      <c r="S2" s="10"/>
      <c r="T2" s="10"/>
      <c r="U2" s="11"/>
      <c r="W2" s="9"/>
      <c r="X2" s="10"/>
      <c r="Y2" s="10"/>
      <c r="Z2" s="11"/>
    </row>
    <row r="3" spans="2:26" ht="15.6" x14ac:dyDescent="0.3">
      <c r="B3" s="8"/>
      <c r="C3" s="12"/>
      <c r="D3" s="13" t="s">
        <v>8</v>
      </c>
      <c r="E3" s="13"/>
      <c r="F3" s="14"/>
      <c r="H3" s="12"/>
      <c r="I3" s="13" t="s">
        <v>166</v>
      </c>
      <c r="J3" s="13"/>
      <c r="K3" s="14"/>
      <c r="M3" s="12"/>
      <c r="N3" s="13" t="s">
        <v>167</v>
      </c>
      <c r="O3" s="13"/>
      <c r="P3" s="14"/>
      <c r="R3" s="12"/>
      <c r="S3" s="13" t="s">
        <v>168</v>
      </c>
      <c r="T3" s="13"/>
      <c r="U3" s="14"/>
      <c r="W3" s="12"/>
      <c r="X3" s="13" t="s">
        <v>169</v>
      </c>
      <c r="Y3" s="13"/>
      <c r="Z3" s="14"/>
    </row>
    <row r="4" spans="2:26" ht="21" x14ac:dyDescent="0.3">
      <c r="B4" s="8"/>
      <c r="C4" s="12"/>
      <c r="D4" s="19">
        <f>KPI!B2</f>
        <v>49648.100000000035</v>
      </c>
      <c r="E4" s="19"/>
      <c r="F4" s="14"/>
      <c r="H4" s="12"/>
      <c r="I4" s="15">
        <f>KPI!B3</f>
        <v>150</v>
      </c>
      <c r="J4" s="15"/>
      <c r="K4" s="14"/>
      <c r="M4" s="12"/>
      <c r="N4" s="19">
        <f>KPI!B4</f>
        <v>447</v>
      </c>
      <c r="O4" s="19"/>
      <c r="P4" s="14"/>
      <c r="R4" s="12"/>
      <c r="S4" s="19">
        <f>KPI!B5</f>
        <v>330.98733333333354</v>
      </c>
      <c r="T4" s="19"/>
      <c r="U4" s="14"/>
      <c r="W4" s="12"/>
      <c r="X4" s="19">
        <f>KPI!B6</f>
        <v>110.38180000000003</v>
      </c>
      <c r="Y4" s="19"/>
      <c r="Z4" s="14"/>
    </row>
    <row r="5" spans="2:26" ht="14.4" customHeight="1" x14ac:dyDescent="0.3">
      <c r="C5" s="16"/>
      <c r="D5" s="17"/>
      <c r="E5" s="17"/>
      <c r="F5" s="18"/>
      <c r="H5" s="16"/>
      <c r="I5" s="17"/>
      <c r="J5" s="17"/>
      <c r="K5" s="18"/>
      <c r="M5" s="16"/>
      <c r="N5" s="17"/>
      <c r="O5" s="17"/>
      <c r="P5" s="18"/>
      <c r="R5" s="16"/>
      <c r="S5" s="17"/>
      <c r="T5" s="17"/>
      <c r="U5" s="18"/>
      <c r="W5" s="16"/>
      <c r="X5" s="17"/>
      <c r="Y5" s="17"/>
      <c r="Z5" s="18"/>
    </row>
  </sheetData>
  <mergeCells count="10">
    <mergeCell ref="S3:T3"/>
    <mergeCell ref="S4:T4"/>
    <mergeCell ref="X3:Y3"/>
    <mergeCell ref="X4:Y4"/>
    <mergeCell ref="D3:E3"/>
    <mergeCell ref="D4:E4"/>
    <mergeCell ref="I3:J3"/>
    <mergeCell ref="I4:J4"/>
    <mergeCell ref="N3:O3"/>
    <mergeCell ref="N4:O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DATA</vt:lpstr>
      <vt:lpstr>KPI</vt:lpstr>
      <vt:lpstr>Pivot_Monthly</vt:lpstr>
      <vt:lpstr>Pivot_Category</vt:lpstr>
      <vt:lpstr>Pivot_RegionCat</vt:lpstr>
      <vt:lpstr>Pivot_TopProducts</vt:lpstr>
      <vt:lpstr>Dashboard</vt:lpstr>
      <vt:lpstr>Dashboard!Область_печати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Dima Dimura</cp:lastModifiedBy>
  <dcterms:created xsi:type="dcterms:W3CDTF">2025-11-11T12:59:49Z</dcterms:created>
  <dcterms:modified xsi:type="dcterms:W3CDTF">2025-11-11T15:00:27Z</dcterms:modified>
</cp:coreProperties>
</file>